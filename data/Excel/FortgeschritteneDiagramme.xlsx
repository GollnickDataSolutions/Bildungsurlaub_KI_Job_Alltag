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" sheetId="1" state="visible" r:id="rId3"/>
    <sheet name="Sankey_Geldfluss" sheetId="2" state="visible" r:id="rId4"/>
    <sheet name="Treemap_Sunburst" sheetId="3" state="visible" r:id="rId5"/>
    <sheet name="Funnel_Vertrieb" sheetId="4" state="visible" r:id="rId6"/>
    <sheet name="Wasserfall_Gewinn" sheetId="5" state="visible" r:id="rId7"/>
    <sheet name="Radar_Kompetenzen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<sst xmlns="http://schemas.openxmlformats.org/spreadsheetml/2006/main" count="117" uniqueCount="82">
  <si>
    <t xml:space="preserve">GDS · Diagramm-Toolkit für Schulungen</t>
  </si>
  <si>
    <t xml:space="preserve">Beispielunternehmen „TechFlow GmbH“ · Brand: Deep Purple &amp; Terracotta</t>
  </si>
  <si>
    <t xml:space="preserve">Diagrammtyp</t>
  </si>
  <si>
    <t xml:space="preserve">Wofür ideal</t>
  </si>
  <si>
    <t xml:space="preserve">Nativ in Excel?</t>
  </si>
  <si>
    <t xml:space="preserve">Datenblatt</t>
  </si>
  <si>
    <t xml:space="preserve">Sankey (Flussdiagramm)</t>
  </si>
  <si>
    <t xml:space="preserve">Flüsse zwischen Stationen: Geld, Energie, Nutzerströme</t>
  </si>
  <si>
    <t xml:space="preserve">Nein – extern / Python</t>
  </si>
  <si>
    <t xml:space="preserve">Sankey_Geldfluss</t>
  </si>
  <si>
    <t xml:space="preserve">Treemap (Kacheln)</t>
  </si>
  <si>
    <t xml:space="preserve">Anteile in Hierarchien, viele Kategorien auf einen Blick</t>
  </si>
  <si>
    <t xml:space="preserve">Ja (ab Excel 2016)</t>
  </si>
  <si>
    <t xml:space="preserve">Treemap_Sunburst</t>
  </si>
  <si>
    <t xml:space="preserve">Sunburst (Ringe)</t>
  </si>
  <si>
    <t xml:space="preserve">Mehrstufige Hierarchien als verschachtelte Ringe</t>
  </si>
  <si>
    <t xml:space="preserve">Trichter (Funnel)</t>
  </si>
  <si>
    <t xml:space="preserve">Stufen mit Schwund, z. B. Vertriebsprozess</t>
  </si>
  <si>
    <t xml:space="preserve">Funnel_Vertrieb</t>
  </si>
  <si>
    <t xml:space="preserve">Wasserfall</t>
  </si>
  <si>
    <t xml:space="preserve">Auf- und Abbau zu einem Endwert (Gewinnbrücke)</t>
  </si>
  <si>
    <t xml:space="preserve">Wasserfall_Gewinn</t>
  </si>
  <si>
    <t xml:space="preserve">Netz (Radar)</t>
  </si>
  <si>
    <t xml:space="preserve">Mehrere Kennzahlen vergleichen (Ist vs. Ziel)</t>
  </si>
  <si>
    <t xml:space="preserve">Ja</t>
  </si>
  <si>
    <t xml:space="preserve">Radar_Kompetenzen</t>
  </si>
  <si>
    <t xml:space="preserve">Sankey rendern: Spalten Quelle/Ziel/Wert in https://sankeymatic.com einfügen (Format je Zeile: "Quelle [Wert] Ziel"), oder mit Python/Plotly. So-Diagramme erzeugst du in Excel über Einfügen ▸ Diagramme ▸ gewünschter Typ, nachdem du den jeweiligen Datenbereich markiert hast.</t>
  </si>
  <si>
    <t xml:space="preserve">Sankey · Geldfluss</t>
  </si>
  <si>
    <t xml:space="preserve">Umsatzquellen → Gesamtumsatz → Kostenblöcke → Gewinn (€ Tsd.)</t>
  </si>
  <si>
    <t xml:space="preserve">Quelle</t>
  </si>
  <si>
    <t xml:space="preserve">Ziel</t>
  </si>
  <si>
    <t xml:space="preserve">Wert (€ Tsd.)</t>
  </si>
  <si>
    <t xml:space="preserve">Software</t>
  </si>
  <si>
    <t xml:space="preserve">Umsatz</t>
  </si>
  <si>
    <t xml:space="preserve">Services</t>
  </si>
  <si>
    <t xml:space="preserve">Hardware</t>
  </si>
  <si>
    <t xml:space="preserve">Personal</t>
  </si>
  <si>
    <t xml:space="preserve">Marketing</t>
  </si>
  <si>
    <t xml:space="preserve">Infrastruktur</t>
  </si>
  <si>
    <t xml:space="preserve">Gewinn</t>
  </si>
  <si>
    <t xml:space="preserve">Eingang Umsatz</t>
  </si>
  <si>
    <t xml:space="preserve">Ausgang Umsatz</t>
  </si>
  <si>
    <t xml:space="preserve">Balance-Check: Eingang = Ausgang (1.000), damit der Fluss aufgeht. Für SankeyMATIC einfach je Zeile schreiben: Software [450] Umsatz  /  Umsatz [380] Personal  usw.</t>
  </si>
  <si>
    <t xml:space="preserve">Treemap &amp; Sunburst · Umsatz</t>
  </si>
  <si>
    <t xml:space="preserve">Hierarchie Region ▸ Produktkategorie (€ Tsd.)</t>
  </si>
  <si>
    <t xml:space="preserve">Region</t>
  </si>
  <si>
    <t xml:space="preserve">Produktkategorie</t>
  </si>
  <si>
    <t xml:space="preserve">Umsatz (€ Tsd.)</t>
  </si>
  <si>
    <t xml:space="preserve">DACH</t>
  </si>
  <si>
    <t xml:space="preserve">EU-West</t>
  </si>
  <si>
    <t xml:space="preserve">Nordamerika</t>
  </si>
  <si>
    <t xml:space="preserve">Gesamt</t>
  </si>
  <si>
    <t xml:space="preserve">Treemap/Sunburst erzeugen: A4:C13 markieren ▸ Einfügen ▸ Diagramme ▸ Treemap bzw. Sunburst. Excel erkennt die zwei Ebenen (Region, Kategorie) automatisch.</t>
  </si>
  <si>
    <t xml:space="preserve">Trichter · Vertriebsfunnel</t>
  </si>
  <si>
    <t xml:space="preserve">Stufen mit Schwund vom Lead bis zum Abschluss</t>
  </si>
  <si>
    <t xml:space="preserve">Stufe</t>
  </si>
  <si>
    <t xml:space="preserve">Anzahl</t>
  </si>
  <si>
    <t xml:space="preserve">Conv. zur Vorstufe</t>
  </si>
  <si>
    <t xml:space="preserve">Conv. ab Lead</t>
  </si>
  <si>
    <t xml:space="preserve">Leads</t>
  </si>
  <si>
    <t xml:space="preserve">—</t>
  </si>
  <si>
    <t xml:space="preserve">Qualifizierte Leads</t>
  </si>
  <si>
    <t xml:space="preserve">Angebot</t>
  </si>
  <si>
    <t xml:space="preserve">Verhandlung</t>
  </si>
  <si>
    <t xml:space="preserve">Abschluss</t>
  </si>
  <si>
    <t xml:space="preserve">Trichter erzeugen: A4:B9 markieren ▸ Einfügen ▸ Diagramme ▸ Trichter. Die Conversion-Spalten sind als Gesprächsanker für die Schulung gedacht.</t>
  </si>
  <si>
    <t xml:space="preserve">Wasserfall · Gewinnbrücke</t>
  </si>
  <si>
    <t xml:space="preserve">Vom Umsatz über die Kostenblöcke zum Ergebnis (€ Tsd.)</t>
  </si>
  <si>
    <t xml:space="preserve">Posten</t>
  </si>
  <si>
    <t xml:space="preserve">Betrag (€ Tsd.)</t>
  </si>
  <si>
    <t xml:space="preserve">Personalkosten</t>
  </si>
  <si>
    <t xml:space="preserve">Wasserfall erzeugen: A4:B9 markieren ▸ Einfügen ▸ Diagramme ▸ Wasserfall. Danach den Balken „Gewinn“ per Rechtsklick ▸ „Als Summe festlegen“ markieren – dann startet er auf der Nulllinie.</t>
  </si>
  <si>
    <t xml:space="preserve">Netz · Kompetenzvergleich</t>
  </si>
  <si>
    <t xml:space="preserve">Ist-Stand vs. Ziel je Kompetenz (Skala 0–10)</t>
  </si>
  <si>
    <t xml:space="preserve">Kompetenz</t>
  </si>
  <si>
    <t xml:space="preserve">Ist</t>
  </si>
  <si>
    <t xml:space="preserve">Datenanalyse</t>
  </si>
  <si>
    <t xml:space="preserve">Python</t>
  </si>
  <si>
    <t xml:space="preserve">Machine Learning</t>
  </si>
  <si>
    <t xml:space="preserve">Visualisierung</t>
  </si>
  <si>
    <t xml:space="preserve">Kommunikation</t>
  </si>
  <si>
    <t xml:space="preserve">Projektmanagement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</si>
</sst>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%"/>
    <numFmt numFmtId="167" formatCode="#,##0;\(#,##0\)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Calibri Light"/>
      <family val="0"/>
      <charset val="1"/>
    </font>
    <font>
      <i val="true"/>
      <sz val="10"/>
      <color rgb="FFC05C37"/>
      <name val="Calibri Light"/>
      <family val="0"/>
      <charset val="1"/>
    </font>
    <font>
      <b val="true"/>
      <sz val="11"/>
      <color rgb="FFFFFFFF"/>
      <name val="Calibri Light"/>
      <family val="0"/>
      <charset val="1"/>
    </font>
    <font>
      <sz val="11"/>
      <color rgb="FF222222"/>
      <name val="Calibri Light"/>
      <family val="0"/>
      <charset val="1"/>
    </font>
    <font>
      <sz val="10"/>
      <color rgb="FF2C2C54"/>
      <name val="Calibri Light"/>
      <family val="0"/>
      <charset val="1"/>
    </font>
    <font>
      <b val="true"/>
      <sz val="11"/>
      <color rgb="FF2C2C54"/>
      <name val="Calibri Light"/>
      <family val="0"/>
      <charset val="1"/>
    </font>
    <font>
      <sz val="11"/>
      <name val="Calibri Light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2C2C54"/>
        <bgColor rgb="FF222222"/>
      </patternFill>
    </fill>
    <fill>
      <patternFill patternType="solid">
        <fgColor rgb="FFEEEEF3"/>
        <bgColor rgb="FFF5E5DD"/>
      </patternFill>
    </fill>
    <fill>
      <patternFill patternType="solid">
        <fgColor rgb="FFF5E5DD"/>
        <bgColor rgb="FFEEEEF3"/>
      </patternFill>
    </fill>
    <fill>
      <patternFill patternType="solid">
        <fgColor rgb="FFC05C37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E"/>
      </left>
      <right style="thin">
        <color rgb="FFD9D9DE"/>
      </right>
      <top style="thin">
        <color rgb="FFD9D9DE"/>
      </top>
      <bottom style="thin">
        <color rgb="FFD9D9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4" borderId="0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7" fillId="3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64" fontId="7" fillId="0" borderId="1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7" fontId="7" fillId="3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right" vertical="bottom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EEEEF3"/>
      <rgbColor rgb="FFCCFFFF"/>
      <rgbColor rgb="FF660066"/>
      <rgbColor rgb="FFFF8080"/>
      <rgbColor rgb="FF0066CC"/>
      <rgbColor rgb="FFD9D9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5E5DD"/>
      <rgbColor rgb="FF3366FF"/>
      <rgbColor rgb="FF33CCCC"/>
      <rgbColor rgb="FF99CC00"/>
      <rgbColor rgb="FFFFCC00"/>
      <rgbColor rgb="FFFF9900"/>
      <rgbColor rgb="FFC05C37"/>
      <rgbColor rgb="FF666699"/>
      <rgbColor rgb="FF969696"/>
      <rgbColor rgb="FF003366"/>
      <rgbColor rgb="FF339966"/>
      <rgbColor rgb="FF003300"/>
      <rgbColor rgb="FF222222"/>
      <rgbColor rgb="FF993300"/>
      <rgbColor rgb="FF993366"/>
      <rgbColor rgb="FF333399"/>
      <rgbColor rgb="FF2C2C5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Umsatz nach Region (Live-Beispiel)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Treemap_Sunburst!F4</c:f>
              <c:strCache>
                <c:ptCount val="1"/>
                <c:pt idx="0">
                  <c:v>Umsatz</c:v>
                </c:pt>
              </c:strCache>
            </c:strRef>
          </c:tx>
          <c:spPr>
            <a:solidFill>
              <a:srgbClr val="2c2c5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Treemap_Sunburst!$E$5:$E$7</c:f>
              <c:strCache>
                <c:ptCount val="3"/>
                <c:pt idx="0">
                  <c:v>DACH</c:v>
                </c:pt>
                <c:pt idx="1">
                  <c:v>EU-West</c:v>
                </c:pt>
                <c:pt idx="2">
                  <c:v>Nordamerika</c:v>
                </c:pt>
              </c:strCache>
            </c:strRef>
          </c:cat>
          <c:val>
            <c:numRef>
              <c:f>Treemap_Sunburst!$F$5:$F$7</c:f>
              <c:numCache>
                <c:formatCode>#,##0</c:formatCode>
                <c:ptCount val="3"/>
                <c:pt idx="0">
                  <c:v>500</c:v>
                </c:pt>
                <c:pt idx="1">
                  <c:v>360</c:v>
                </c:pt>
                <c:pt idx="2">
                  <c:v>290</c:v>
                </c:pt>
              </c:numCache>
            </c:numRef>
          </c:val>
        </c:ser>
        <c:gapWidth val="150"/>
        <c:overlap val="0"/>
        <c:axId val="9646205"/>
        <c:axId val="40298873"/>
      </c:barChart>
      <c:catAx>
        <c:axId val="964620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298873"/>
        <c:crosses val="autoZero"/>
        <c:auto val="1"/>
        <c:lblAlgn val="ctr"/>
        <c:lblOffset val="100"/>
        <c:noMultiLvlLbl val="0"/>
      </c:catAx>
      <c:valAx>
        <c:axId val="4029887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4620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Kompetenzen: Ist vs. Ziel (Live-Beispiel)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radarChart>
        <c:radarStyle val="marker"/>
        <c:varyColors val="0"/>
        <c:ser>
          <c:idx val="0"/>
          <c:order val="0"/>
          <c:tx>
            <c:strRef>
              <c:f>Radar_Kompetenzen!B4</c:f>
              <c:strCache>
                <c:ptCount val="1"/>
                <c:pt idx="0">
                  <c:v>Ist</c:v>
                </c:pt>
              </c:strCache>
            </c:strRef>
          </c:tx>
          <c:spPr>
            <a:solidFill>
              <a:srgbClr val="c05c37"/>
            </a:solidFill>
            <a:ln w="28440">
              <a:solidFill>
                <a:srgbClr val="c05c3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Radar_Kompetenzen!$A$5:$A$10</c:f>
              <c:strCache>
                <c:ptCount val="6"/>
                <c:pt idx="0">
                  <c:v>Datenanalyse</c:v>
                </c:pt>
                <c:pt idx="1">
                  <c:v>Python</c:v>
                </c:pt>
                <c:pt idx="2">
                  <c:v>Machine Learning</c:v>
                </c:pt>
                <c:pt idx="3">
                  <c:v>Visualisierung</c:v>
                </c:pt>
                <c:pt idx="4">
                  <c:v>Kommunikation</c:v>
                </c:pt>
                <c:pt idx="5">
                  <c:v>Projektmanagement</c:v>
                </c:pt>
              </c:strCache>
            </c:strRef>
          </c:cat>
          <c:val>
            <c:numRef>
              <c:f>Radar_Kompetenzen!$B$5:$B$10</c:f>
              <c:numCache>
                <c:formatCode>#,##0</c:formatCode>
                <c:ptCount val="6"/>
                <c:pt idx="0">
                  <c:v>6</c:v>
                </c:pt>
                <c:pt idx="1">
                  <c:v>5</c:v>
                </c:pt>
                <c:pt idx="2">
                  <c:v>4</c:v>
                </c:pt>
                <c:pt idx="3">
                  <c:v>5</c:v>
                </c:pt>
                <c:pt idx="4">
                  <c:v>7</c:v>
                </c:pt>
                <c:pt idx="5">
                  <c:v>6</c:v>
                </c:pt>
              </c:numCache>
            </c:numRef>
          </c:val>
        </c:ser>
        <c:ser>
          <c:idx val="1"/>
          <c:order val="1"/>
          <c:tx>
            <c:strRef>
              <c:f>Radar_Kompetenzen!C4</c:f>
              <c:strCache>
                <c:ptCount val="1"/>
                <c:pt idx="0">
                  <c:v>Ziel</c:v>
                </c:pt>
              </c:strCache>
            </c:strRef>
          </c:tx>
          <c:spPr>
            <a:solidFill>
              <a:srgbClr val="2c2c54"/>
            </a:solidFill>
            <a:ln w="28440">
              <a:solidFill>
                <a:srgbClr val="2c2c5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Radar_Kompetenzen!$A$5:$A$10</c:f>
              <c:strCache>
                <c:ptCount val="6"/>
                <c:pt idx="0">
                  <c:v>Datenanalyse</c:v>
                </c:pt>
                <c:pt idx="1">
                  <c:v>Python</c:v>
                </c:pt>
                <c:pt idx="2">
                  <c:v>Machine Learning</c:v>
                </c:pt>
                <c:pt idx="3">
                  <c:v>Visualisierung</c:v>
                </c:pt>
                <c:pt idx="4">
                  <c:v>Kommunikation</c:v>
                </c:pt>
                <c:pt idx="5">
                  <c:v>Projektmanagement</c:v>
                </c:pt>
              </c:strCache>
            </c:strRef>
          </c:cat>
          <c:val>
            <c:numRef>
              <c:f>Radar_Kompetenzen!$C$5:$C$10</c:f>
              <c:numCache>
                <c:formatCode>#,##0</c:formatCode>
                <c:ptCount val="6"/>
                <c:pt idx="0">
                  <c:v>9</c:v>
                </c:pt>
                <c:pt idx="1">
                  <c:v>9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9</c:v>
                </c:pt>
              </c:numCache>
            </c:numRef>
          </c:val>
        </c:ser>
        <c:axId val="94505185"/>
        <c:axId val="39202573"/>
      </c:radarChart>
      <c:catAx>
        <c:axId val="94505185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202573"/>
        <c:crosses val="autoZero"/>
        <c:auto val="1"/>
        <c:lblAlgn val="ctr"/>
        <c:lblOffset val="100"/>
        <c:noMultiLvlLbl val="0"/>
      </c:catAx>
      <c:valAx>
        <c:axId val="3920257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505185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8</xdr:row>
      <xdr:rowOff>0</xdr:rowOff>
    </xdr:from>
    <xdr:to>
      <xdr:col>9</xdr:col>
      <xdr:colOff>511560</xdr:colOff>
      <xdr:row>18</xdr:row>
      <xdr:rowOff>176400</xdr:rowOff>
    </xdr:to>
    <xdr:graphicFrame>
      <xdr:nvGraphicFramePr>
        <xdr:cNvPr id="0" name="Chart 1"/>
        <xdr:cNvGraphicFramePr/>
      </xdr:nvGraphicFramePr>
      <xdr:xfrm>
        <a:off x="4417560" y="1990800"/>
        <a:ext cx="43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3</xdr:row>
      <xdr:rowOff>0</xdr:rowOff>
    </xdr:from>
    <xdr:to>
      <xdr:col>11</xdr:col>
      <xdr:colOff>399240</xdr:colOff>
      <xdr:row>18</xdr:row>
      <xdr:rowOff>22320</xdr:rowOff>
    </xdr:to>
    <xdr:graphicFrame>
      <xdr:nvGraphicFramePr>
        <xdr:cNvPr id="1" name="Chart 1"/>
        <xdr:cNvGraphicFramePr/>
      </xdr:nvGraphicFramePr>
      <xdr:xfrm>
        <a:off x="3571920" y="847800"/>
        <a:ext cx="46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6"/>
    <col collapsed="false" customWidth="true" hidden="false" outlineLevel="0" max="4" min="3" style="0" width="22"/>
  </cols>
  <sheetData>
    <row r="1" customFormat="false" ht="33.75" hidden="false" customHeight="true" outlineLevel="0" collapsed="false">
      <c r="A1" s="1" t="s">
        <v>0</v>
      </c>
      <c r="B1" s="1"/>
      <c r="C1" s="1"/>
      <c r="D1" s="1"/>
    </row>
    <row r="2" customFormat="false" ht="18" hidden="false" customHeight="true" outlineLevel="0" collapsed="false">
      <c r="A2" s="2" t="s">
        <v>1</v>
      </c>
      <c r="B2" s="2"/>
      <c r="C2" s="2"/>
      <c r="D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28.35" hidden="false" customHeight="false" outlineLevel="0" collapsed="false">
      <c r="A5" s="4" t="s">
        <v>6</v>
      </c>
      <c r="B5" s="4" t="s">
        <v>7</v>
      </c>
      <c r="C5" s="4" t="s">
        <v>8</v>
      </c>
      <c r="D5" s="4" t="s">
        <v>9</v>
      </c>
    </row>
    <row r="6" customFormat="false" ht="28.35" hidden="false" customHeight="false" outlineLevel="0" collapsed="false">
      <c r="A6" s="5" t="s">
        <v>10</v>
      </c>
      <c r="B6" s="5" t="s">
        <v>11</v>
      </c>
      <c r="C6" s="5" t="s">
        <v>12</v>
      </c>
      <c r="D6" s="5" t="s">
        <v>13</v>
      </c>
    </row>
    <row r="7" customFormat="false" ht="28.35" hidden="false" customHeight="false" outlineLevel="0" collapsed="false">
      <c r="A7" s="4" t="s">
        <v>14</v>
      </c>
      <c r="B7" s="4" t="s">
        <v>15</v>
      </c>
      <c r="C7" s="4" t="s">
        <v>12</v>
      </c>
      <c r="D7" s="4" t="s">
        <v>13</v>
      </c>
    </row>
    <row r="8" customFormat="false" ht="28.35" hidden="false" customHeight="false" outlineLevel="0" collapsed="false">
      <c r="A8" s="5" t="s">
        <v>16</v>
      </c>
      <c r="B8" s="5" t="s">
        <v>17</v>
      </c>
      <c r="C8" s="5" t="s">
        <v>12</v>
      </c>
      <c r="D8" s="5" t="s">
        <v>18</v>
      </c>
    </row>
    <row r="9" customFormat="false" ht="28.35" hidden="false" customHeight="false" outlineLevel="0" collapsed="false">
      <c r="A9" s="4" t="s">
        <v>19</v>
      </c>
      <c r="B9" s="4" t="s">
        <v>20</v>
      </c>
      <c r="C9" s="4" t="s">
        <v>12</v>
      </c>
      <c r="D9" s="4" t="s">
        <v>21</v>
      </c>
    </row>
    <row r="10" customFormat="false" ht="28.35" hidden="false" customHeight="false" outlineLevel="0" collapsed="false">
      <c r="A10" s="5" t="s">
        <v>22</v>
      </c>
      <c r="B10" s="5" t="s">
        <v>23</v>
      </c>
      <c r="C10" s="5" t="s">
        <v>24</v>
      </c>
      <c r="D10" s="5" t="s">
        <v>25</v>
      </c>
    </row>
    <row r="12" customFormat="false" ht="69.75" hidden="false" customHeight="true" outlineLevel="0" collapsed="false">
      <c r="A12" s="6" t="s">
        <v>26</v>
      </c>
      <c r="B12" s="6"/>
      <c r="C12" s="6"/>
      <c r="D12" s="6"/>
    </row>
  </sheetData>
  <mergeCells count="3">
    <mergeCell ref="A1:D1"/>
    <mergeCell ref="A2:D2"/>
    <mergeCell ref="A12:D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2"/>
    <col collapsed="false" customWidth="true" hidden="false" outlineLevel="0" max="3" min="3" style="0" width="16"/>
  </cols>
  <sheetData>
    <row r="1" customFormat="false" ht="33.75" hidden="false" customHeight="true" outlineLevel="0" collapsed="false">
      <c r="A1" s="1" t="s">
        <v>27</v>
      </c>
      <c r="B1" s="1"/>
      <c r="C1" s="1"/>
    </row>
    <row r="2" customFormat="false" ht="18" hidden="false" customHeight="true" outlineLevel="0" collapsed="false">
      <c r="A2" s="2" t="s">
        <v>28</v>
      </c>
      <c r="B2" s="2"/>
      <c r="C2" s="2"/>
    </row>
    <row r="4" customFormat="false" ht="30" hidden="false" customHeight="true" outlineLevel="0" collapsed="false">
      <c r="A4" s="3" t="s">
        <v>29</v>
      </c>
      <c r="B4" s="3" t="s">
        <v>30</v>
      </c>
      <c r="C4" s="3" t="s">
        <v>31</v>
      </c>
    </row>
    <row r="5" customFormat="false" ht="15" hidden="false" customHeight="false" outlineLevel="0" collapsed="false">
      <c r="A5" s="4" t="s">
        <v>32</v>
      </c>
      <c r="B5" s="4" t="s">
        <v>33</v>
      </c>
      <c r="C5" s="7" t="n">
        <v>450</v>
      </c>
    </row>
    <row r="6" customFormat="false" ht="15" hidden="false" customHeight="false" outlineLevel="0" collapsed="false">
      <c r="A6" s="5" t="s">
        <v>34</v>
      </c>
      <c r="B6" s="5" t="s">
        <v>33</v>
      </c>
      <c r="C6" s="8" t="n">
        <v>320</v>
      </c>
    </row>
    <row r="7" customFormat="false" ht="15" hidden="false" customHeight="false" outlineLevel="0" collapsed="false">
      <c r="A7" s="4" t="s">
        <v>35</v>
      </c>
      <c r="B7" s="4" t="s">
        <v>33</v>
      </c>
      <c r="C7" s="7" t="n">
        <v>230</v>
      </c>
    </row>
    <row r="8" customFormat="false" ht="15" hidden="false" customHeight="false" outlineLevel="0" collapsed="false">
      <c r="A8" s="5" t="s">
        <v>33</v>
      </c>
      <c r="B8" s="5" t="s">
        <v>36</v>
      </c>
      <c r="C8" s="8" t="n">
        <v>380</v>
      </c>
    </row>
    <row r="9" customFormat="false" ht="15" hidden="false" customHeight="false" outlineLevel="0" collapsed="false">
      <c r="A9" s="4" t="s">
        <v>33</v>
      </c>
      <c r="B9" s="4" t="s">
        <v>37</v>
      </c>
      <c r="C9" s="7" t="n">
        <v>180</v>
      </c>
    </row>
    <row r="10" customFormat="false" ht="15" hidden="false" customHeight="false" outlineLevel="0" collapsed="false">
      <c r="A10" s="5" t="s">
        <v>33</v>
      </c>
      <c r="B10" s="5" t="s">
        <v>38</v>
      </c>
      <c r="C10" s="8" t="n">
        <v>140</v>
      </c>
    </row>
    <row r="11" customFormat="false" ht="15" hidden="false" customHeight="false" outlineLevel="0" collapsed="false">
      <c r="A11" s="4" t="s">
        <v>33</v>
      </c>
      <c r="B11" s="4" t="s">
        <v>39</v>
      </c>
      <c r="C11" s="7" t="n">
        <v>300</v>
      </c>
    </row>
    <row r="13" customFormat="false" ht="15" hidden="false" customHeight="false" outlineLevel="0" collapsed="false">
      <c r="A13" s="9" t="s">
        <v>40</v>
      </c>
      <c r="B13" s="10" t="n">
        <f aca="false">SUMIF(B5:B11,"Umsatz",C5:C11)</f>
        <v>1000</v>
      </c>
    </row>
    <row r="14" customFormat="false" ht="15" hidden="false" customHeight="false" outlineLevel="0" collapsed="false">
      <c r="A14" s="9" t="s">
        <v>41</v>
      </c>
      <c r="B14" s="10" t="n">
        <f aca="false">SUMIF(A5:A11,"Umsatz",C5:C11)</f>
        <v>1000</v>
      </c>
    </row>
    <row r="16" customFormat="false" ht="49.5" hidden="false" customHeight="true" outlineLevel="0" collapsed="false">
      <c r="A16" s="6" t="s">
        <v>42</v>
      </c>
      <c r="B16" s="6"/>
      <c r="C16" s="6"/>
    </row>
  </sheetData>
  <mergeCells count="3">
    <mergeCell ref="A1:C1"/>
    <mergeCell ref="A2:C2"/>
    <mergeCell ref="A16:C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5" min="5" style="0" width="16"/>
    <col collapsed="false" customWidth="true" hidden="false" outlineLevel="0" max="6" min="6" style="0" width="12"/>
  </cols>
  <sheetData>
    <row r="1" customFormat="false" ht="33.75" hidden="false" customHeight="true" outlineLevel="0" collapsed="false">
      <c r="A1" s="1" t="s">
        <v>43</v>
      </c>
      <c r="B1" s="1"/>
      <c r="C1" s="1"/>
    </row>
    <row r="2" customFormat="false" ht="18" hidden="false" customHeight="true" outlineLevel="0" collapsed="false">
      <c r="A2" s="2" t="s">
        <v>44</v>
      </c>
      <c r="B2" s="2"/>
      <c r="C2" s="2"/>
    </row>
    <row r="4" customFormat="false" ht="30" hidden="false" customHeight="true" outlineLevel="0" collapsed="false">
      <c r="A4" s="3" t="s">
        <v>45</v>
      </c>
      <c r="B4" s="3" t="s">
        <v>46</v>
      </c>
      <c r="C4" s="3" t="s">
        <v>47</v>
      </c>
      <c r="E4" s="11" t="s">
        <v>45</v>
      </c>
      <c r="F4" s="11" t="s">
        <v>33</v>
      </c>
    </row>
    <row r="5" customFormat="false" ht="15" hidden="false" customHeight="false" outlineLevel="0" collapsed="false">
      <c r="A5" s="4" t="s">
        <v>48</v>
      </c>
      <c r="B5" s="4" t="s">
        <v>32</v>
      </c>
      <c r="C5" s="7" t="n">
        <v>280</v>
      </c>
      <c r="E5" s="12" t="s">
        <v>48</v>
      </c>
      <c r="F5" s="13" t="n">
        <f aca="false">SUMIF($A$5:$A$13,E5,$C$5:$C$13)</f>
        <v>500</v>
      </c>
    </row>
    <row r="6" customFormat="false" ht="15" hidden="false" customHeight="false" outlineLevel="0" collapsed="false">
      <c r="A6" s="5" t="s">
        <v>48</v>
      </c>
      <c r="B6" s="5" t="s">
        <v>34</v>
      </c>
      <c r="C6" s="8" t="n">
        <v>150</v>
      </c>
      <c r="E6" s="12" t="s">
        <v>49</v>
      </c>
      <c r="F6" s="13" t="n">
        <f aca="false">SUMIF($A$5:$A$13,E6,$C$5:$C$13)</f>
        <v>360</v>
      </c>
    </row>
    <row r="7" customFormat="false" ht="15" hidden="false" customHeight="false" outlineLevel="0" collapsed="false">
      <c r="A7" s="4" t="s">
        <v>48</v>
      </c>
      <c r="B7" s="4" t="s">
        <v>35</v>
      </c>
      <c r="C7" s="7" t="n">
        <v>70</v>
      </c>
      <c r="E7" s="12" t="s">
        <v>50</v>
      </c>
      <c r="F7" s="13" t="n">
        <f aca="false">SUMIF($A$5:$A$13,E7,$C$5:$C$13)</f>
        <v>290</v>
      </c>
    </row>
    <row r="8" customFormat="false" ht="15" hidden="false" customHeight="false" outlineLevel="0" collapsed="false">
      <c r="A8" s="5" t="s">
        <v>49</v>
      </c>
      <c r="B8" s="5" t="s">
        <v>32</v>
      </c>
      <c r="C8" s="8" t="n">
        <v>190</v>
      </c>
    </row>
    <row r="9" customFormat="false" ht="15" hidden="false" customHeight="false" outlineLevel="0" collapsed="false">
      <c r="A9" s="4" t="s">
        <v>49</v>
      </c>
      <c r="B9" s="4" t="s">
        <v>34</v>
      </c>
      <c r="C9" s="7" t="n">
        <v>110</v>
      </c>
    </row>
    <row r="10" customFormat="false" ht="15" hidden="false" customHeight="false" outlineLevel="0" collapsed="false">
      <c r="A10" s="5" t="s">
        <v>49</v>
      </c>
      <c r="B10" s="5" t="s">
        <v>35</v>
      </c>
      <c r="C10" s="8" t="n">
        <v>60</v>
      </c>
    </row>
    <row r="11" customFormat="false" ht="15" hidden="false" customHeight="false" outlineLevel="0" collapsed="false">
      <c r="A11" s="4" t="s">
        <v>50</v>
      </c>
      <c r="B11" s="4" t="s">
        <v>32</v>
      </c>
      <c r="C11" s="7" t="n">
        <v>160</v>
      </c>
    </row>
    <row r="12" customFormat="false" ht="15" hidden="false" customHeight="false" outlineLevel="0" collapsed="false">
      <c r="A12" s="5" t="s">
        <v>50</v>
      </c>
      <c r="B12" s="5" t="s">
        <v>34</v>
      </c>
      <c r="C12" s="8" t="n">
        <v>90</v>
      </c>
    </row>
    <row r="13" customFormat="false" ht="15" hidden="false" customHeight="false" outlineLevel="0" collapsed="false">
      <c r="A13" s="4" t="s">
        <v>50</v>
      </c>
      <c r="B13" s="4" t="s">
        <v>35</v>
      </c>
      <c r="C13" s="7" t="n">
        <v>40</v>
      </c>
    </row>
    <row r="14" customFormat="false" ht="15" hidden="false" customHeight="false" outlineLevel="0" collapsed="false">
      <c r="A14" s="14" t="s">
        <v>51</v>
      </c>
      <c r="B14" s="15"/>
      <c r="C14" s="16" t="n">
        <f aca="false">SUM(C5:C13)</f>
        <v>1150</v>
      </c>
    </row>
    <row r="16" customFormat="false" ht="49.5" hidden="false" customHeight="true" outlineLevel="0" collapsed="false">
      <c r="A16" s="6" t="s">
        <v>52</v>
      </c>
      <c r="B16" s="6"/>
      <c r="C16" s="6"/>
    </row>
  </sheetData>
  <mergeCells count="3">
    <mergeCell ref="A1:C1"/>
    <mergeCell ref="A2:C2"/>
    <mergeCell ref="A16:C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16"/>
  </cols>
  <sheetData>
    <row r="1" customFormat="false" ht="33.75" hidden="false" customHeight="true" outlineLevel="0" collapsed="false">
      <c r="A1" s="1" t="s">
        <v>53</v>
      </c>
      <c r="B1" s="1"/>
      <c r="C1" s="1"/>
      <c r="D1" s="1"/>
    </row>
    <row r="2" customFormat="false" ht="18" hidden="false" customHeight="true" outlineLevel="0" collapsed="false">
      <c r="A2" s="2" t="s">
        <v>54</v>
      </c>
      <c r="B2" s="2"/>
      <c r="C2" s="2"/>
      <c r="D2" s="2"/>
    </row>
    <row r="4" customFormat="false" ht="30" hidden="false" customHeight="true" outlineLevel="0" collapsed="false">
      <c r="A4" s="3" t="s">
        <v>55</v>
      </c>
      <c r="B4" s="3" t="s">
        <v>56</v>
      </c>
      <c r="C4" s="3" t="s">
        <v>57</v>
      </c>
      <c r="D4" s="3" t="s">
        <v>58</v>
      </c>
    </row>
    <row r="5" customFormat="false" ht="15" hidden="false" customHeight="false" outlineLevel="0" collapsed="false">
      <c r="A5" s="4" t="s">
        <v>59</v>
      </c>
      <c r="B5" s="7" t="n">
        <v>5000</v>
      </c>
      <c r="C5" s="17" t="s">
        <v>60</v>
      </c>
      <c r="D5" s="18" t="n">
        <f aca="false">B5/$B$5</f>
        <v>1</v>
      </c>
    </row>
    <row r="6" customFormat="false" ht="15" hidden="false" customHeight="false" outlineLevel="0" collapsed="false">
      <c r="A6" s="5" t="s">
        <v>61</v>
      </c>
      <c r="B6" s="8" t="n">
        <v>2200</v>
      </c>
      <c r="C6" s="19" t="n">
        <f aca="false">B6/B5</f>
        <v>0.44</v>
      </c>
      <c r="D6" s="19" t="n">
        <f aca="false">B6/$B$5</f>
        <v>0.44</v>
      </c>
    </row>
    <row r="7" customFormat="false" ht="15" hidden="false" customHeight="false" outlineLevel="0" collapsed="false">
      <c r="A7" s="4" t="s">
        <v>62</v>
      </c>
      <c r="B7" s="7" t="n">
        <v>900</v>
      </c>
      <c r="C7" s="18" t="n">
        <f aca="false">B7/B6</f>
        <v>0.409090909090909</v>
      </c>
      <c r="D7" s="18" t="n">
        <f aca="false">B7/$B$5</f>
        <v>0.18</v>
      </c>
    </row>
    <row r="8" customFormat="false" ht="15" hidden="false" customHeight="false" outlineLevel="0" collapsed="false">
      <c r="A8" s="5" t="s">
        <v>63</v>
      </c>
      <c r="B8" s="8" t="n">
        <v>400</v>
      </c>
      <c r="C8" s="19" t="n">
        <f aca="false">B8/B7</f>
        <v>0.444444444444444</v>
      </c>
      <c r="D8" s="19" t="n">
        <f aca="false">B8/$B$5</f>
        <v>0.08</v>
      </c>
    </row>
    <row r="9" customFormat="false" ht="15" hidden="false" customHeight="false" outlineLevel="0" collapsed="false">
      <c r="A9" s="4" t="s">
        <v>64</v>
      </c>
      <c r="B9" s="7" t="n">
        <v>180</v>
      </c>
      <c r="C9" s="18" t="n">
        <f aca="false">B9/B8</f>
        <v>0.45</v>
      </c>
      <c r="D9" s="18" t="n">
        <f aca="false">B9/$B$5</f>
        <v>0.036</v>
      </c>
    </row>
    <row r="12" customFormat="false" ht="43.5" hidden="false" customHeight="true" outlineLevel="0" collapsed="false">
      <c r="A12" s="6" t="s">
        <v>65</v>
      </c>
      <c r="B12" s="6"/>
      <c r="C12" s="6"/>
      <c r="D12" s="6"/>
    </row>
  </sheetData>
  <mergeCells count="3">
    <mergeCell ref="A1:D1"/>
    <mergeCell ref="A2:D2"/>
    <mergeCell ref="A12:D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</cols>
  <sheetData>
    <row r="1" customFormat="false" ht="33.75" hidden="false" customHeight="true" outlineLevel="0" collapsed="false">
      <c r="A1" s="1" t="s">
        <v>66</v>
      </c>
      <c r="B1" s="1"/>
    </row>
    <row r="2" customFormat="false" ht="18" hidden="false" customHeight="true" outlineLevel="0" collapsed="false">
      <c r="A2" s="2" t="s">
        <v>67</v>
      </c>
      <c r="B2" s="2"/>
    </row>
    <row r="4" customFormat="false" ht="30" hidden="false" customHeight="true" outlineLevel="0" collapsed="false">
      <c r="A4" s="3" t="s">
        <v>68</v>
      </c>
      <c r="B4" s="3" t="s">
        <v>69</v>
      </c>
    </row>
    <row r="5" customFormat="false" ht="15" hidden="false" customHeight="false" outlineLevel="0" collapsed="false">
      <c r="A5" s="4" t="s">
        <v>33</v>
      </c>
      <c r="B5" s="20" t="n">
        <v>1000</v>
      </c>
    </row>
    <row r="6" customFormat="false" ht="15" hidden="false" customHeight="false" outlineLevel="0" collapsed="false">
      <c r="A6" s="5" t="s">
        <v>70</v>
      </c>
      <c r="B6" s="21" t="n">
        <v>-380</v>
      </c>
    </row>
    <row r="7" customFormat="false" ht="15" hidden="false" customHeight="false" outlineLevel="0" collapsed="false">
      <c r="A7" s="4" t="s">
        <v>37</v>
      </c>
      <c r="B7" s="20" t="n">
        <v>-180</v>
      </c>
    </row>
    <row r="8" customFormat="false" ht="15" hidden="false" customHeight="false" outlineLevel="0" collapsed="false">
      <c r="A8" s="5" t="s">
        <v>38</v>
      </c>
      <c r="B8" s="21" t="n">
        <v>-140</v>
      </c>
    </row>
    <row r="9" customFormat="false" ht="15" hidden="false" customHeight="false" outlineLevel="0" collapsed="false">
      <c r="A9" s="22" t="s">
        <v>39</v>
      </c>
      <c r="B9" s="23" t="n">
        <f aca="false">SUM(B5:B8)</f>
        <v>300</v>
      </c>
    </row>
    <row r="11" customFormat="false" ht="60" hidden="false" customHeight="true" outlineLevel="0" collapsed="false">
      <c r="A11" s="6" t="s">
        <v>71</v>
      </c>
      <c r="B11" s="6"/>
    </row>
  </sheetData>
  <mergeCells count="3">
    <mergeCell ref="A1:B1"/>
    <mergeCell ref="A2:B2"/>
    <mergeCell ref="A11:B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0"/>
  </cols>
  <sheetData>
    <row r="1" customFormat="false" ht="33.75" hidden="false" customHeight="true" outlineLevel="0" collapsed="false">
      <c r="A1" s="1" t="s">
        <v>72</v>
      </c>
      <c r="B1" s="1"/>
      <c r="C1" s="1"/>
    </row>
    <row r="2" customFormat="false" ht="18" hidden="false" customHeight="true" outlineLevel="0" collapsed="false">
      <c r="A2" s="2" t="s">
        <v>73</v>
      </c>
      <c r="B2" s="2"/>
      <c r="C2" s="2"/>
    </row>
    <row r="4" customFormat="false" ht="30" hidden="false" customHeight="true" outlineLevel="0" collapsed="false">
      <c r="A4" s="3" t="s">
        <v>74</v>
      </c>
      <c r="B4" s="3" t="s">
        <v>75</v>
      </c>
      <c r="C4" s="3" t="s">
        <v>30</v>
      </c>
    </row>
    <row r="5" customFormat="false" ht="15" hidden="false" customHeight="false" outlineLevel="0" collapsed="false">
      <c r="A5" s="4" t="s">
        <v>76</v>
      </c>
      <c r="B5" s="7" t="n">
        <v>6</v>
      </c>
      <c r="C5" s="7" t="n">
        <v>9</v>
      </c>
    </row>
    <row r="6" customFormat="false" ht="15" hidden="false" customHeight="false" outlineLevel="0" collapsed="false">
      <c r="A6" s="5" t="s">
        <v>77</v>
      </c>
      <c r="B6" s="8" t="n">
        <v>5</v>
      </c>
      <c r="C6" s="8" t="n">
        <v>9</v>
      </c>
    </row>
    <row r="7" customFormat="false" ht="15" hidden="false" customHeight="false" outlineLevel="0" collapsed="false">
      <c r="A7" s="4" t="s">
        <v>78</v>
      </c>
      <c r="B7" s="7" t="n">
        <v>4</v>
      </c>
      <c r="C7" s="7" t="n">
        <v>8</v>
      </c>
    </row>
    <row r="8" customFormat="false" ht="15" hidden="false" customHeight="false" outlineLevel="0" collapsed="false">
      <c r="A8" s="5" t="s">
        <v>79</v>
      </c>
      <c r="B8" s="8" t="n">
        <v>5</v>
      </c>
      <c r="C8" s="8" t="n">
        <v>8</v>
      </c>
    </row>
    <row r="9" customFormat="false" ht="15" hidden="false" customHeight="false" outlineLevel="0" collapsed="false">
      <c r="A9" s="4" t="s">
        <v>80</v>
      </c>
      <c r="B9" s="7" t="n">
        <v>7</v>
      </c>
      <c r="C9" s="7" t="n">
        <v>8</v>
      </c>
    </row>
    <row r="10" customFormat="false" ht="28.35" hidden="false" customHeight="false" outlineLevel="0" collapsed="false">
      <c r="A10" s="5" t="s">
        <v>81</v>
      </c>
      <c r="B10" s="8" t="n">
        <v>6</v>
      </c>
      <c r="C10" s="8" t="n">
        <v>9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2026-06-12T05:23:23Z</dcterms:created>
  <dc:creator>openpyxl</dc:creator>
  <dc:description/>
  <dc:language>en-US</dc:language>
  <cp:lastModifiedBy/>
  <dcterms:modified xsi:type="dcterms:W3CDTF">2026-06-12T05:23:25Z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