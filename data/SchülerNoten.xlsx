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lnickdatasolutions-my.sharepoint.com/personal/bertgollnick_gollnickdatasolutions_onmicrosoft_com/Documents/Projects/Bildungsurlaub/KIfürJobUndAlltag/Inhalte/data/"/>
    </mc:Choice>
  </mc:AlternateContent>
  <xr:revisionPtr revIDLastSave="145" documentId="8_{4A567EC4-FA63-48FC-92AD-44112C065680}" xr6:coauthVersionLast="47" xr6:coauthVersionMax="47" xr10:uidLastSave="{9317C3B0-1CD8-48B4-B78A-7D63FF888B4D}"/>
  <bookViews>
    <workbookView xWindow="28680" yWindow="-120" windowWidth="29040" windowHeight="16440" activeTab="2" xr2:uid="{3EABB142-B400-4C38-9C07-8BEF67FD9399}"/>
  </bookViews>
  <sheets>
    <sheet name="Tabelle1" sheetId="1" r:id="rId1"/>
    <sheet name="GPT cache" sheetId="3" state="veryHidden" r:id="rId2"/>
    <sheet name="Auswertung" sheetId="6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" i="1" a="1"/>
  <c r="F2" i="1" s="1"/>
  <c r="E2" i="1" a="1"/>
  <c r="E2" i="1" s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<sst xmlns="http://schemas.openxmlformats.org/spreadsheetml/2006/main" count="88" uniqueCount="55">
  <si>
    <t>Student ID</t>
  </si>
  <si>
    <t>Name</t>
  </si>
  <si>
    <t>Class</t>
  </si>
  <si>
    <t>Grade</t>
  </si>
  <si>
    <t>Class (Espaniol)</t>
  </si>
  <si>
    <t>Notenwert</t>
  </si>
  <si>
    <t>Liam Miller</t>
  </si>
  <si>
    <t>Mathematics</t>
  </si>
  <si>
    <t>A</t>
  </si>
  <si>
    <t>Sophia Chen</t>
  </si>
  <si>
    <t>History</t>
  </si>
  <si>
    <t>B+</t>
  </si>
  <si>
    <t>Noah Garcia</t>
  </si>
  <si>
    <t>Physics</t>
  </si>
  <si>
    <t>A-</t>
  </si>
  <si>
    <t>Emma Wilson</t>
  </si>
  <si>
    <t>Literature</t>
  </si>
  <si>
    <t>B</t>
  </si>
  <si>
    <t>Oliver Brown</t>
  </si>
  <si>
    <t>Chemistry</t>
  </si>
  <si>
    <t>C+</t>
  </si>
  <si>
    <t>Ava Martinez</t>
  </si>
  <si>
    <t>B-</t>
  </si>
  <si>
    <t>Lucas Taylor</t>
  </si>
  <si>
    <t>Biology</t>
  </si>
  <si>
    <t>Mia Anderson</t>
  </si>
  <si>
    <t>Ethan Thomas</t>
  </si>
  <si>
    <t>Isabella Moore</t>
  </si>
  <si>
    <t>Computer Science</t>
  </si>
  <si>
    <t>Mason Jackson</t>
  </si>
  <si>
    <t>C</t>
  </si>
  <si>
    <t>Charlotte White</t>
  </si>
  <si>
    <t>James Harris</t>
  </si>
  <si>
    <t>Amelia Martin</t>
  </si>
  <si>
    <t>Benjamin Thompson</t>
  </si>
  <si>
    <t>Harper Lee</t>
  </si>
  <si>
    <t>Sebastian King</t>
  </si>
  <si>
    <t>Evelyn Wright</t>
  </si>
  <si>
    <t>Alexander Scott</t>
  </si>
  <si>
    <t>Scarlett Green</t>
  </si>
  <si>
    <t>{"hash":"ac2027851772b8defd0467014ee96c531af38f14853fc423b40b16c5f1967349","version":1,"value":"[[\"Historia\"]]"}</t>
  </si>
  <si>
    <t>{"hash":"db234e5d6a523f2913aabf5e52f80e40abdcc30aa741f951080e78d295970406","version":1,"value":"[[\"Física\"]]"}</t>
  </si>
  <si>
    <t>{"hash":"69c430a56e94df41fcc6ec640eaa4fe482456cca3365ce45793d7ee0091411b4","version":1,"value":"[[\"Química\"]]"}</t>
  </si>
  <si>
    <t>{"hash":"4077205e6a7b27c29061b060739df6f8dd6a938e9cd9ff289dfa1f49b4f739e5","version":1,"value":"[[\"Ciencias de la Computación\"]]"}</t>
  </si>
  <si>
    <t>{"hash":"ddd931a371b3c2f33c018b1ebe2b54a72bcd53511be755600b0a70847062ae30","version":1,"value":"[[\"Literatura\"]]"}</t>
  </si>
  <si>
    <t>{"hash":"6bfb8647315d6f2a5e5902974b04a41c334bbd2d0c0bd494dc9f36042de7854b","version":1,"value":"[[\"Biología\"]]"}</t>
  </si>
  <si>
    <t>{"hash":"8cce02276f91e464bab98cf48d50d550fada4efb856ff653471006d8cc6757a3","version":1,"value":"[[\"Matemáticas\"]]"}</t>
  </si>
  <si>
    <t>Gesamtergebnis</t>
  </si>
  <si>
    <t>Vorname</t>
  </si>
  <si>
    <t>Nachname</t>
  </si>
  <si>
    <t>📊 Notenübersicht nach Grade</t>
  </si>
  <si>
    <t>Anzahl Schüler und Summe Notenwert je Grade (aus Tabelle1)</t>
  </si>
  <si>
    <t>Zeilenbeschriftungen</t>
  </si>
  <si>
    <t>Anzahl Schüler</t>
  </si>
  <si>
    <t>Summe Notenwert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</si>
</sst>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theme="0"/>
      <name val="Arial"/>
      <family val="2"/>
    </font>
    <font>
      <b/>
      <sz val="16"/>
      <color rgb="FF1F2D3D"/>
      <name val="Aptos Narrow"/>
      <family val="2"/>
      <scheme val="minor"/>
    </font>
    <font>
      <sz val="11"/>
      <color rgb="FF1F2D3D"/>
      <name val="Aptos Narrow"/>
      <family val="2"/>
      <scheme val="minor"/>
    </font>
    <font>
      <i/>
      <sz val="11"/>
      <color rgb="FF1F2D3D"/>
      <name val="Aptos Narrow"/>
      <family val="2"/>
      <scheme val="minor"/>
    </font>
    <font>
      <b/>
      <sz val="11"/>
      <color rgb="FF1F2D3D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6FA"/>
        <bgColor indexed="64"/>
      </patternFill>
    </fill>
    <fill>
      <patternFill patternType="solid">
        <fgColor rgb="FFE8EEF7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left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3" borderId="0" xfId="0" applyFont="1" applyFill="1"/>
  </cellXfs>
  <cellStyles count="1">
    <cellStyle name="Standard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color rgb="FF1F2D3D"/>
      </font>
    </dxf>
    <dxf>
      <font>
        <color rgb="FF1F2D3D"/>
      </font>
    </dxf>
    <dxf>
      <fill>
        <patternFill patternType="solid">
          <fgColor indexed="64"/>
          <bgColor rgb="FFE8EEF7"/>
        </patternFill>
      </fill>
    </dxf>
    <dxf>
      <fill>
        <patternFill patternType="solid">
          <fgColor indexed="64"/>
          <bgColor rgb="FFE8EEF7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[SchülerNoten.xlsx]Auswertung!NotenPivot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Schüler je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Auswertung!$B$4</c:f>
              <c:strCache>
                <c:ptCount val="1"/>
                <c:pt idx="0">
                  <c:v>Anzahl Schüler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Auswertung!$A$5:$A$12</c:f>
              <c:strCache>
                <c:ptCount val="7"/>
                <c:pt idx="0">
                  <c:v>A</c:v>
                </c:pt>
                <c:pt idx="1">
                  <c:v>A-</c:v>
                </c:pt>
                <c:pt idx="2">
                  <c:v>B</c:v>
                </c:pt>
                <c:pt idx="3">
                  <c:v>B-</c:v>
                </c:pt>
                <c:pt idx="4">
                  <c:v>B+</c:v>
                </c:pt>
                <c:pt idx="5">
                  <c:v>C</c:v>
                </c:pt>
                <c:pt idx="6">
                  <c:v>C+</c:v>
                </c:pt>
              </c:strCache>
            </c:strRef>
          </c:cat>
          <c:val>
            <c:numRef>
              <c:f>Auswertung!$B$5:$B$12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6-4DA0-81B6-0A77A757E797}"/>
            </c:ext>
          </c:extLst>
        </c:ser>
        <c:ser>
          <c:idx val="1"/>
          <c:order val="1"/>
          <c:tx>
            <c:strRef>
              <c:f>Auswertung!$C$4</c:f>
              <c:strCache>
                <c:ptCount val="1"/>
                <c:pt idx="0">
                  <c:v>Summe Notenwert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Auswertung!$A$5:$A$12</c:f>
              <c:strCache>
                <c:ptCount val="7"/>
                <c:pt idx="0">
                  <c:v>A</c:v>
                </c:pt>
                <c:pt idx="1">
                  <c:v>A-</c:v>
                </c:pt>
                <c:pt idx="2">
                  <c:v>B</c:v>
                </c:pt>
                <c:pt idx="3">
                  <c:v>B-</c:v>
                </c:pt>
                <c:pt idx="4">
                  <c:v>B+</c:v>
                </c:pt>
                <c:pt idx="5">
                  <c:v>C</c:v>
                </c:pt>
                <c:pt idx="6">
                  <c:v>C+</c:v>
                </c:pt>
              </c:strCache>
            </c:strRef>
          </c:cat>
          <c:val>
            <c:numRef>
              <c:f>Auswertung!$C$5:$C$12</c:f>
              <c:numCache>
                <c:formatCode>General</c:formatCode>
                <c:ptCount val="7"/>
                <c:pt idx="0">
                  <c:v>75</c:v>
                </c:pt>
                <c:pt idx="1">
                  <c:v>56</c:v>
                </c:pt>
                <c:pt idx="2">
                  <c:v>36</c:v>
                </c:pt>
                <c:pt idx="3">
                  <c:v>22</c:v>
                </c:pt>
                <c:pt idx="4">
                  <c:v>39</c:v>
                </c:pt>
                <c:pt idx="5">
                  <c:v>9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6-4DA0-81B6-0A77A757E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549728"/>
        <c:axId val="1089546848"/>
      </c:barChart>
      <c:catAx>
        <c:axId val="108954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89546848"/>
        <c:crosses val="autoZero"/>
        <c:auto val="1"/>
        <c:lblAlgn val="ctr"/>
        <c:lblOffset val="100"/>
        <c:noMultiLvlLbl val="0"/>
      </c:catAx>
      <c:valAx>
        <c:axId val="10895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Anzahl / Summe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8954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E87703D-71CF-2761-3F2E-74DA8DFBF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t Gollnick" refreshedDate="46086.659983101854" createdVersion="8" refreshedVersion="8" minRefreshableVersion="3" recordCount="20" xr:uid="{AB059FFA-5E9C-4D0C-8B77-C2296CC125AE}">
  <cacheSource type="worksheet">
    <worksheetSource ref="A1:H21" sheet="Tabelle1"/>
  </cacheSource>
  <cacheFields count="8">
    <cacheField name="Student ID" numFmtId="0">
      <sharedItems containsSemiMixedTypes="0" containsString="0" containsNumber="1" containsInteger="1" minValue="101" maxValue="120"/>
    </cacheField>
    <cacheField name="Name" numFmtId="0">
      <sharedItems/>
    </cacheField>
    <cacheField name="Class" numFmtId="0">
      <sharedItems/>
    </cacheField>
    <cacheField name="Grade" numFmtId="0">
      <sharedItems count="7">
        <s v="A"/>
        <s v="B+"/>
        <s v="A-"/>
        <s v="B"/>
        <s v="C+"/>
        <s v="B-"/>
        <s v="C"/>
      </sharedItems>
    </cacheField>
    <cacheField name="Class (Espaniol)" numFmtId="0">
      <sharedItems/>
    </cacheField>
    <cacheField name="Notenwert" numFmtId="0">
      <sharedItems containsSemiMixedTypes="0" containsString="0" containsNumber="1" containsInteger="1" minValue="9" maxValue="15"/>
    </cacheField>
    <cacheField name="Vorname" numFmtId="0">
      <sharedItems/>
    </cacheField>
    <cacheField name="Nach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1"/>
    <s v="Liam Miller"/>
    <s v="Mathematics"/>
    <x v="0"/>
    <s v="Matemáticas"/>
    <n v="15"/>
    <s v="Liam"/>
    <s v="Miller"/>
  </r>
  <r>
    <n v="102"/>
    <s v="Sophia Chen"/>
    <s v="History"/>
    <x v="1"/>
    <s v="Historia"/>
    <n v="13"/>
    <s v="Sophia"/>
    <s v="Chen"/>
  </r>
  <r>
    <n v="103"/>
    <s v="Noah Garcia"/>
    <s v="Physics"/>
    <x v="2"/>
    <s v="Física"/>
    <n v="14"/>
    <s v="Noah"/>
    <s v="Garcia"/>
  </r>
  <r>
    <n v="104"/>
    <s v="Emma Wilson"/>
    <s v="Literature"/>
    <x v="3"/>
    <s v="Literatura"/>
    <n v="12"/>
    <s v="Emma"/>
    <s v="Wilson"/>
  </r>
  <r>
    <n v="105"/>
    <s v="Oliver Brown"/>
    <s v="Chemistry"/>
    <x v="4"/>
    <s v="Química"/>
    <n v="10"/>
    <s v="Oliver"/>
    <s v="Brown"/>
  </r>
  <r>
    <n v="106"/>
    <s v="Ava Martinez"/>
    <s v="Mathematics"/>
    <x v="5"/>
    <s v="Matemáticas"/>
    <n v="11"/>
    <s v="Ava"/>
    <s v="Martinez"/>
  </r>
  <r>
    <n v="107"/>
    <s v="Lucas Taylor"/>
    <s v="Biology"/>
    <x v="0"/>
    <s v="Biología"/>
    <n v="15"/>
    <s v="Lucas"/>
    <s v="Taylor"/>
  </r>
  <r>
    <n v="108"/>
    <s v="Mia Anderson"/>
    <s v="History"/>
    <x v="2"/>
    <s v="Historia"/>
    <n v="14"/>
    <s v="Mia"/>
    <s v="Anderson"/>
  </r>
  <r>
    <n v="109"/>
    <s v="Ethan Thomas"/>
    <s v="Physics"/>
    <x v="3"/>
    <s v="Física"/>
    <n v="12"/>
    <s v="Ethan"/>
    <s v="Thomas"/>
  </r>
  <r>
    <n v="110"/>
    <s v="Isabella Moore"/>
    <s v="Computer Science"/>
    <x v="0"/>
    <s v="Ciencias de la Computación"/>
    <n v="15"/>
    <s v="Isabella"/>
    <s v="Moore"/>
  </r>
  <r>
    <n v="111"/>
    <s v="Mason Jackson"/>
    <s v="Literature"/>
    <x v="6"/>
    <s v="Literatura"/>
    <n v="9"/>
    <s v="Mason"/>
    <s v="Jackson"/>
  </r>
  <r>
    <n v="112"/>
    <s v="Charlotte White"/>
    <s v="Chemistry"/>
    <x v="1"/>
    <s v="Química"/>
    <n v="13"/>
    <s v="Charlotte"/>
    <s v="White"/>
  </r>
  <r>
    <n v="113"/>
    <s v="James Harris"/>
    <s v="Mathematics"/>
    <x v="0"/>
    <s v="Matemáticas"/>
    <n v="15"/>
    <s v="James"/>
    <s v="Harris"/>
  </r>
  <r>
    <n v="114"/>
    <s v="Amelia Martin"/>
    <s v="Biology"/>
    <x v="3"/>
    <s v="Biología"/>
    <n v="12"/>
    <s v="Amelia"/>
    <s v="Martin"/>
  </r>
  <r>
    <n v="115"/>
    <s v="Benjamin Thompson"/>
    <s v="Physics"/>
    <x v="2"/>
    <s v="Física"/>
    <n v="14"/>
    <s v="Benjamin"/>
    <s v="Thompson"/>
  </r>
  <r>
    <n v="116"/>
    <s v="Harper Lee"/>
    <s v="Computer Science"/>
    <x v="1"/>
    <s v="Ciencias de la Computación"/>
    <n v="13"/>
    <s v="Harper"/>
    <s v="Lee"/>
  </r>
  <r>
    <n v="117"/>
    <s v="Sebastian King"/>
    <s v="History"/>
    <x v="4"/>
    <s v="Historia"/>
    <n v="10"/>
    <s v="Sebastian"/>
    <s v="King"/>
  </r>
  <r>
    <n v="118"/>
    <s v="Evelyn Wright"/>
    <s v="Literature"/>
    <x v="0"/>
    <s v="Literatura"/>
    <n v="15"/>
    <s v="Evelyn"/>
    <s v="Wright"/>
  </r>
  <r>
    <n v="119"/>
    <s v="Alexander Scott"/>
    <s v="Chemistry"/>
    <x v="5"/>
    <s v="Química"/>
    <n v="11"/>
    <s v="Alexander"/>
    <s v="Scott"/>
  </r>
  <r>
    <n v="120"/>
    <s v="Scarlett Green"/>
    <s v="Mathematics"/>
    <x v="2"/>
    <s v="Matemáticas"/>
    <n v="14"/>
    <s v="Scarlett"/>
    <s v="Gre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2E051-0BAB-4BA6-A3D4-FE600D5F3120}" name="NotenPivot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4:C12" firstHeaderRow="0" firstDataRow="1" firstDataCol="1"/>
  <pivotFields count="8">
    <pivotField dataField="1" showAll="0"/>
    <pivotField showAll="0"/>
    <pivotField showAll="0"/>
    <pivotField axis="axisRow" showAll="0">
      <items count="8">
        <item x="0"/>
        <item x="2"/>
        <item x="3"/>
        <item x="5"/>
        <item x="1"/>
        <item x="6"/>
        <item x="4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nzahl Schüler" fld="0" subtotal="count" baseField="0" baseItem="0"/>
    <dataField name="Summe Notenwert" fld="5" baseField="0" baseItem="0"/>
  </dataFields>
  <formats count="6">
    <format dxfId="17">
      <pivotArea field="3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3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3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F76944-4563-4FEE-818B-9DB8CB3C0EBE}" name="Tabelle1" displayName="Tabelle1" ref="A1:H21" totalsRowShown="0" headerRowDxfId="11" headerRowBorderDxfId="10" tableBorderDxfId="9" totalsRowBorderDxfId="8">
  <autoFilter ref="A1:H21" xr:uid="{5FF76944-4563-4FEE-818B-9DB8CB3C0EBE}"/>
  <tableColumns count="8">
    <tableColumn id="1" xr3:uid="{D7749C76-6C37-4836-AE04-3BE169132649}" name="Student ID" dataDxfId="7"/>
    <tableColumn id="2" xr3:uid="{573A9CE7-7A6F-42BC-B1A3-190B6F164F32}" name="Name" dataDxfId="6"/>
    <tableColumn id="3" xr3:uid="{2181521C-DF81-40F5-A62B-F9C5416D5621}" name="Class" dataDxfId="5"/>
    <tableColumn id="4" xr3:uid="{4824FCFB-19D4-47FA-9CD7-FC1499734BEA}" name="Grade" dataDxfId="4"/>
    <tableColumn id="5" xr3:uid="{EE0386E2-9EE9-4DC3-92DF-9E9353F83A97}" name="Class (Espaniol)" dataDxfId="3">
      <calculatedColumnFormula array="1">_xldudf_GPT("übersetze ins spanische",Tabelle1[[#This Row],[Class]])</calculatedColumnFormula>
    </tableColumn>
    <tableColumn id="7" xr3:uid="{85536383-F473-4FCB-A971-57920CE080D6}" name="Notenwert" dataDxfId="2">
      <calculatedColumnFormula array="1">_xlfn.SWITCH(Tabelle1[[#This Row],[Grade]],"A",15,"A-",14,"B+",13,"B",12,"B-",11,"C+",10,"C",9,0)</calculatedColumnFormula>
    </tableColumn>
    <tableColumn id="9" xr3:uid="{3510AFFB-3423-4F80-979C-3C439FD02DC7}" name="Vorname" dataDxfId="1">
      <calculatedColumnFormula>IFERROR(LEFT(Tabelle1[[#This Row],[Name]],FIND(" ",Tabelle1[[#This Row],[Name]]&amp;" ")-1),Tabelle1[[#This Row],[Name]])</calculatedColumnFormula>
    </tableColumn>
    <tableColumn id="10" xr3:uid="{999D9C80-C0C1-4D8F-AF3C-067B680E0AF9}" name="Nachname" dataDxfId="0">
      <calculatedColumnFormula>IFERROR(TRIM(MID(Tabelle1[[#This Row],[Name]],FIND(" ",Tabelle1[[#This Row],[Name]]&amp;" ")+1,999)),"")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205851-86E4-4D76-AFD7-08D5B2B33345}">
  <we:reference id="WA200005502" version="1.0.0.12" store="Omex" storeType="OMEX"/>
  <we:alternateReferences>
    <we:reference id="WA200005502" version="1.0.0.12" store="WA200005502" storeType="OMEX"/>
  </we:alternateReferences>
  <we:properties>
    <we:property name="docId" value="&quot;6ok8VHqs3UCnHWytmcQ2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8455-9E8A-444A-8C5C-053A6FD450F9}">
  <dimension ref="A1:H21"/>
  <sheetViews>
    <sheetView workbookViewId="0">
      <selection activeCell="J7" sqref="J7"/>
    </sheetView>
  </sheetViews>
  <sheetFormatPr baseColWidth="10" defaultColWidth="11.42578125" defaultRowHeight="15" x14ac:dyDescent="0.25"/>
  <cols>
    <col min="1" max="1" width="15.28515625" bestFit="1" customWidth="1"/>
    <col min="2" max="2" width="21.85546875" bestFit="1" customWidth="1"/>
    <col min="3" max="3" width="14.140625" bestFit="1" customWidth="1"/>
    <col min="4" max="4" width="10.85546875" bestFit="1" customWidth="1"/>
    <col min="5" max="5" width="33.42578125" bestFit="1" customWidth="1"/>
    <col min="6" max="6" width="13.5703125" bestFit="1" customWidth="1"/>
    <col min="7" max="7" width="13.42578125" bestFit="1" customWidth="1"/>
    <col min="8" max="8" width="12.140625" bestFit="1" customWidth="1"/>
  </cols>
  <sheetData>
    <row r="1" spans="1:8" ht="30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48</v>
      </c>
      <c r="H1" s="8" t="s">
        <v>49</v>
      </c>
    </row>
    <row r="2" spans="1:8" ht="15.75" thickBot="1" x14ac:dyDescent="0.3">
      <c r="A2" s="2">
        <v>101</v>
      </c>
      <c r="B2" s="1" t="s">
        <v>6</v>
      </c>
      <c r="C2" s="1" t="s">
        <v>7</v>
      </c>
      <c r="D2" s="3" t="s">
        <v>8</v>
      </c>
      <c r="E2" s="10" t="str" cm="1">
        <f t="array" ref="E2">_xldudf_GPT("übersetze ins spanische",Tabelle1[[#This Row],[Class]])</f>
        <v>Matemáticas</v>
      </c>
      <c r="F2" cm="1">
        <f t="array" ref="F2">_xlfn.SWITCH(Tabelle1[[#This Row],[Grade]],"A",15,"A-",14,"B+",13,"B",12,"B-",11,"C+",10,"C",9,0)</f>
        <v>15</v>
      </c>
      <c r="G2" t="str">
        <f>IFERROR(LEFT(Tabelle1[[#This Row],[Name]],FIND(" ",Tabelle1[[#This Row],[Name]]&amp;" ")-1),Tabelle1[[#This Row],[Name]])</f>
        <v>Liam</v>
      </c>
      <c r="H2" t="str">
        <f>IFERROR(TRIM(MID(Tabelle1[[#This Row],[Name]],FIND(" ",Tabelle1[[#This Row],[Name]]&amp;" ")+1,999)),"")</f>
        <v>Miller</v>
      </c>
    </row>
    <row r="3" spans="1:8" ht="15.75" thickBot="1" x14ac:dyDescent="0.3">
      <c r="A3" s="2">
        <v>102</v>
      </c>
      <c r="B3" s="1" t="s">
        <v>9</v>
      </c>
      <c r="C3" s="1" t="s">
        <v>10</v>
      </c>
      <c r="D3" s="3" t="s">
        <v>11</v>
      </c>
      <c r="E3" s="3" t="str" cm="1">
        <f t="array" ref="E3">_xldudf_GPT("übersetze ins spanische",Tabelle1[[#This Row],[Class]])</f>
        <v>Historia</v>
      </c>
      <c r="F3" cm="1">
        <f t="array" ref="F3">_xlfn.SWITCH(Tabelle1[[#This Row],[Grade]],"A",15,"A-",14,"B+",13,"B",12,"B-",11,"C+",10,"C",9,0)</f>
        <v>13</v>
      </c>
      <c r="G3" t="str">
        <f>IFERROR(LEFT(Tabelle1[[#This Row],[Name]],FIND(" ",Tabelle1[[#This Row],[Name]]&amp;" ")-1),Tabelle1[[#This Row],[Name]])</f>
        <v>Sophia</v>
      </c>
      <c r="H3" t="str">
        <f>IFERROR(TRIM(MID(Tabelle1[[#This Row],[Name]],FIND(" ",Tabelle1[[#This Row],[Name]]&amp;" ")+1,999)),"")</f>
        <v>Chen</v>
      </c>
    </row>
    <row r="4" spans="1:8" ht="15.75" thickBot="1" x14ac:dyDescent="0.3">
      <c r="A4" s="2">
        <v>103</v>
      </c>
      <c r="B4" s="1" t="s">
        <v>12</v>
      </c>
      <c r="C4" s="1" t="s">
        <v>13</v>
      </c>
      <c r="D4" s="3" t="s">
        <v>14</v>
      </c>
      <c r="E4" s="3" t="str" cm="1">
        <f t="array" ref="E4">_xldudf_GPT("übersetze ins spanische",Tabelle1[[#This Row],[Class]])</f>
        <v>Física</v>
      </c>
      <c r="F4" cm="1">
        <f t="array" ref="F4">_xlfn.SWITCH(Tabelle1[[#This Row],[Grade]],"A",15,"A-",14,"B+",13,"B",12,"B-",11,"C+",10,"C",9,0)</f>
        <v>14</v>
      </c>
      <c r="G4" t="str">
        <f>IFERROR(LEFT(Tabelle1[[#This Row],[Name]],FIND(" ",Tabelle1[[#This Row],[Name]]&amp;" ")-1),Tabelle1[[#This Row],[Name]])</f>
        <v>Noah</v>
      </c>
      <c r="H4" t="str">
        <f>IFERROR(TRIM(MID(Tabelle1[[#This Row],[Name]],FIND(" ",Tabelle1[[#This Row],[Name]]&amp;" ")+1,999)),"")</f>
        <v>Garcia</v>
      </c>
    </row>
    <row r="5" spans="1:8" ht="15.75" thickBot="1" x14ac:dyDescent="0.3">
      <c r="A5" s="2">
        <v>104</v>
      </c>
      <c r="B5" s="1" t="s">
        <v>15</v>
      </c>
      <c r="C5" s="1" t="s">
        <v>16</v>
      </c>
      <c r="D5" s="3" t="s">
        <v>17</v>
      </c>
      <c r="E5" s="3" t="str" cm="1">
        <f t="array" ref="E5">_xldudf_GPT("übersetze ins spanische",Tabelle1[[#This Row],[Class]])</f>
        <v>Literatura</v>
      </c>
      <c r="F5" cm="1">
        <f t="array" ref="F5">_xlfn.SWITCH(Tabelle1[[#This Row],[Grade]],"A",15,"A-",14,"B+",13,"B",12,"B-",11,"C+",10,"C",9,0)</f>
        <v>12</v>
      </c>
      <c r="G5" t="str">
        <f>IFERROR(LEFT(Tabelle1[[#This Row],[Name]],FIND(" ",Tabelle1[[#This Row],[Name]]&amp;" ")-1),Tabelle1[[#This Row],[Name]])</f>
        <v>Emma</v>
      </c>
      <c r="H5" t="str">
        <f>IFERROR(TRIM(MID(Tabelle1[[#This Row],[Name]],FIND(" ",Tabelle1[[#This Row],[Name]]&amp;" ")+1,999)),"")</f>
        <v>Wilson</v>
      </c>
    </row>
    <row r="6" spans="1:8" ht="15.75" thickBot="1" x14ac:dyDescent="0.3">
      <c r="A6" s="2">
        <v>105</v>
      </c>
      <c r="B6" s="1" t="s">
        <v>18</v>
      </c>
      <c r="C6" s="1" t="s">
        <v>19</v>
      </c>
      <c r="D6" s="3" t="s">
        <v>20</v>
      </c>
      <c r="E6" s="3" t="str" cm="1">
        <f t="array" ref="E6">_xldudf_GPT("übersetze ins spanische",Tabelle1[[#This Row],[Class]])</f>
        <v>Química</v>
      </c>
      <c r="F6" cm="1">
        <f t="array" ref="F6">_xlfn.SWITCH(Tabelle1[[#This Row],[Grade]],"A",15,"A-",14,"B+",13,"B",12,"B-",11,"C+",10,"C",9,0)</f>
        <v>10</v>
      </c>
      <c r="G6" t="str">
        <f>IFERROR(LEFT(Tabelle1[[#This Row],[Name]],FIND(" ",Tabelle1[[#This Row],[Name]]&amp;" ")-1),Tabelle1[[#This Row],[Name]])</f>
        <v>Oliver</v>
      </c>
      <c r="H6" t="str">
        <f>IFERROR(TRIM(MID(Tabelle1[[#This Row],[Name]],FIND(" ",Tabelle1[[#This Row],[Name]]&amp;" ")+1,999)),"")</f>
        <v>Brown</v>
      </c>
    </row>
    <row r="7" spans="1:8" ht="15.75" thickBot="1" x14ac:dyDescent="0.3">
      <c r="A7" s="2">
        <v>106</v>
      </c>
      <c r="B7" s="1" t="s">
        <v>21</v>
      </c>
      <c r="C7" s="1" t="s">
        <v>7</v>
      </c>
      <c r="D7" s="3" t="s">
        <v>22</v>
      </c>
      <c r="E7" s="3" t="str" cm="1">
        <f t="array" ref="E7">_xldudf_GPT("übersetze ins spanische",Tabelle1[[#This Row],[Class]])</f>
        <v>Matemáticas</v>
      </c>
      <c r="F7" cm="1">
        <f t="array" ref="F7">_xlfn.SWITCH(Tabelle1[[#This Row],[Grade]],"A",15,"A-",14,"B+",13,"B",12,"B-",11,"C+",10,"C",9,0)</f>
        <v>11</v>
      </c>
      <c r="G7" t="str">
        <f>IFERROR(LEFT(Tabelle1[[#This Row],[Name]],FIND(" ",Tabelle1[[#This Row],[Name]]&amp;" ")-1),Tabelle1[[#This Row],[Name]])</f>
        <v>Ava</v>
      </c>
      <c r="H7" t="str">
        <f>IFERROR(TRIM(MID(Tabelle1[[#This Row],[Name]],FIND(" ",Tabelle1[[#This Row],[Name]]&amp;" ")+1,999)),"")</f>
        <v>Martinez</v>
      </c>
    </row>
    <row r="8" spans="1:8" ht="15.75" thickBot="1" x14ac:dyDescent="0.3">
      <c r="A8" s="2">
        <v>107</v>
      </c>
      <c r="B8" s="1" t="s">
        <v>23</v>
      </c>
      <c r="C8" s="1" t="s">
        <v>24</v>
      </c>
      <c r="D8" s="3" t="s">
        <v>8</v>
      </c>
      <c r="E8" s="3" t="str" cm="1">
        <f t="array" ref="E8">_xldudf_GPT("übersetze ins spanische",Tabelle1[[#This Row],[Class]])</f>
        <v>Biología</v>
      </c>
      <c r="F8" cm="1">
        <f t="array" ref="F8">_xlfn.SWITCH(Tabelle1[[#This Row],[Grade]],"A",15,"A-",14,"B+",13,"B",12,"B-",11,"C+",10,"C",9,0)</f>
        <v>15</v>
      </c>
      <c r="G8" t="str">
        <f>IFERROR(LEFT(Tabelle1[[#This Row],[Name]],FIND(" ",Tabelle1[[#This Row],[Name]]&amp;" ")-1),Tabelle1[[#This Row],[Name]])</f>
        <v>Lucas</v>
      </c>
      <c r="H8" t="str">
        <f>IFERROR(TRIM(MID(Tabelle1[[#This Row],[Name]],FIND(" ",Tabelle1[[#This Row],[Name]]&amp;" ")+1,999)),"")</f>
        <v>Taylor</v>
      </c>
    </row>
    <row r="9" spans="1:8" ht="15.75" thickBot="1" x14ac:dyDescent="0.3">
      <c r="A9" s="2">
        <v>108</v>
      </c>
      <c r="B9" s="1" t="s">
        <v>25</v>
      </c>
      <c r="C9" s="1" t="s">
        <v>10</v>
      </c>
      <c r="D9" s="3" t="s">
        <v>14</v>
      </c>
      <c r="E9" s="3" t="str" cm="1">
        <f t="array" ref="E9">_xldudf_GPT("übersetze ins spanische",Tabelle1[[#This Row],[Class]])</f>
        <v>Historia</v>
      </c>
      <c r="F9" cm="1">
        <f t="array" ref="F9">_xlfn.SWITCH(Tabelle1[[#This Row],[Grade]],"A",15,"A-",14,"B+",13,"B",12,"B-",11,"C+",10,"C",9,0)</f>
        <v>14</v>
      </c>
      <c r="G9" t="str">
        <f>IFERROR(LEFT(Tabelle1[[#This Row],[Name]],FIND(" ",Tabelle1[[#This Row],[Name]]&amp;" ")-1),Tabelle1[[#This Row],[Name]])</f>
        <v>Mia</v>
      </c>
      <c r="H9" t="str">
        <f>IFERROR(TRIM(MID(Tabelle1[[#This Row],[Name]],FIND(" ",Tabelle1[[#This Row],[Name]]&amp;" ")+1,999)),"")</f>
        <v>Anderson</v>
      </c>
    </row>
    <row r="10" spans="1:8" ht="15.75" thickBot="1" x14ac:dyDescent="0.3">
      <c r="A10" s="2">
        <v>109</v>
      </c>
      <c r="B10" s="1" t="s">
        <v>26</v>
      </c>
      <c r="C10" s="1" t="s">
        <v>13</v>
      </c>
      <c r="D10" s="3" t="s">
        <v>17</v>
      </c>
      <c r="E10" s="3" t="str" cm="1">
        <f t="array" ref="E10">_xldudf_GPT("übersetze ins spanische",Tabelle1[[#This Row],[Class]])</f>
        <v>Física</v>
      </c>
      <c r="F10" cm="1">
        <f t="array" ref="F10">_xlfn.SWITCH(Tabelle1[[#This Row],[Grade]],"A",15,"A-",14,"B+",13,"B",12,"B-",11,"C+",10,"C",9,0)</f>
        <v>12</v>
      </c>
      <c r="G10" t="str">
        <f>IFERROR(LEFT(Tabelle1[[#This Row],[Name]],FIND(" ",Tabelle1[[#This Row],[Name]]&amp;" ")-1),Tabelle1[[#This Row],[Name]])</f>
        <v>Ethan</v>
      </c>
      <c r="H10" t="str">
        <f>IFERROR(TRIM(MID(Tabelle1[[#This Row],[Name]],FIND(" ",Tabelle1[[#This Row],[Name]]&amp;" ")+1,999)),"")</f>
        <v>Thomas</v>
      </c>
    </row>
    <row r="11" spans="1:8" ht="29.25" thickBot="1" x14ac:dyDescent="0.3">
      <c r="A11" s="2">
        <v>110</v>
      </c>
      <c r="B11" s="1" t="s">
        <v>27</v>
      </c>
      <c r="C11" s="1" t="s">
        <v>28</v>
      </c>
      <c r="D11" s="3" t="s">
        <v>8</v>
      </c>
      <c r="E11" s="3" t="str" cm="1">
        <f t="array" ref="E11">_xldudf_GPT("übersetze ins spanische",Tabelle1[[#This Row],[Class]])</f>
        <v>Ciencias de la Computación</v>
      </c>
      <c r="F11" cm="1">
        <f t="array" ref="F11">_xlfn.SWITCH(Tabelle1[[#This Row],[Grade]],"A",15,"A-",14,"B+",13,"B",12,"B-",11,"C+",10,"C",9,0)</f>
        <v>15</v>
      </c>
      <c r="G11" t="str">
        <f>IFERROR(LEFT(Tabelle1[[#This Row],[Name]],FIND(" ",Tabelle1[[#This Row],[Name]]&amp;" ")-1),Tabelle1[[#This Row],[Name]])</f>
        <v>Isabella</v>
      </c>
      <c r="H11" t="str">
        <f>IFERROR(TRIM(MID(Tabelle1[[#This Row],[Name]],FIND(" ",Tabelle1[[#This Row],[Name]]&amp;" ")+1,999)),"")</f>
        <v>Moore</v>
      </c>
    </row>
    <row r="12" spans="1:8" ht="15.75" thickBot="1" x14ac:dyDescent="0.3">
      <c r="A12" s="2">
        <v>111</v>
      </c>
      <c r="B12" s="1" t="s">
        <v>29</v>
      </c>
      <c r="C12" s="1" t="s">
        <v>16</v>
      </c>
      <c r="D12" s="3" t="s">
        <v>30</v>
      </c>
      <c r="E12" s="3" t="str" cm="1">
        <f t="array" ref="E12">_xldudf_GPT("übersetze ins spanische",Tabelle1[[#This Row],[Class]])</f>
        <v>Literatura</v>
      </c>
      <c r="F12" cm="1">
        <f t="array" ref="F12">_xlfn.SWITCH(Tabelle1[[#This Row],[Grade]],"A",15,"A-",14,"B+",13,"B",12,"B-",11,"C+",10,"C",9,0)</f>
        <v>9</v>
      </c>
      <c r="G12" t="str">
        <f>IFERROR(LEFT(Tabelle1[[#This Row],[Name]],FIND(" ",Tabelle1[[#This Row],[Name]]&amp;" ")-1),Tabelle1[[#This Row],[Name]])</f>
        <v>Mason</v>
      </c>
      <c r="H12" t="str">
        <f>IFERROR(TRIM(MID(Tabelle1[[#This Row],[Name]],FIND(" ",Tabelle1[[#This Row],[Name]]&amp;" ")+1,999)),"")</f>
        <v>Jackson</v>
      </c>
    </row>
    <row r="13" spans="1:8" ht="15.75" thickBot="1" x14ac:dyDescent="0.3">
      <c r="A13" s="2">
        <v>112</v>
      </c>
      <c r="B13" s="1" t="s">
        <v>31</v>
      </c>
      <c r="C13" s="1" t="s">
        <v>19</v>
      </c>
      <c r="D13" s="3" t="s">
        <v>11</v>
      </c>
      <c r="E13" s="3" t="str" cm="1">
        <f t="array" ref="E13">_xldudf_GPT("übersetze ins spanische",Tabelle1[[#This Row],[Class]])</f>
        <v>Química</v>
      </c>
      <c r="F13" cm="1">
        <f t="array" ref="F13">_xlfn.SWITCH(Tabelle1[[#This Row],[Grade]],"A",15,"A-",14,"B+",13,"B",12,"B-",11,"C+",10,"C",9,0)</f>
        <v>13</v>
      </c>
      <c r="G13" t="str">
        <f>IFERROR(LEFT(Tabelle1[[#This Row],[Name]],FIND(" ",Tabelle1[[#This Row],[Name]]&amp;" ")-1),Tabelle1[[#This Row],[Name]])</f>
        <v>Charlotte</v>
      </c>
      <c r="H13" t="str">
        <f>IFERROR(TRIM(MID(Tabelle1[[#This Row],[Name]],FIND(" ",Tabelle1[[#This Row],[Name]]&amp;" ")+1,999)),"")</f>
        <v>White</v>
      </c>
    </row>
    <row r="14" spans="1:8" ht="15.75" thickBot="1" x14ac:dyDescent="0.3">
      <c r="A14" s="2">
        <v>113</v>
      </c>
      <c r="B14" s="1" t="s">
        <v>32</v>
      </c>
      <c r="C14" s="1" t="s">
        <v>7</v>
      </c>
      <c r="D14" s="3" t="s">
        <v>8</v>
      </c>
      <c r="E14" s="3" t="str" cm="1">
        <f t="array" ref="E14">_xldudf_GPT("übersetze ins spanische",Tabelle1[[#This Row],[Class]])</f>
        <v>Matemáticas</v>
      </c>
      <c r="F14" cm="1">
        <f t="array" ref="F14">_xlfn.SWITCH(Tabelle1[[#This Row],[Grade]],"A",15,"A-",14,"B+",13,"B",12,"B-",11,"C+",10,"C",9,0)</f>
        <v>15</v>
      </c>
      <c r="G14" t="str">
        <f>IFERROR(LEFT(Tabelle1[[#This Row],[Name]],FIND(" ",Tabelle1[[#This Row],[Name]]&amp;" ")-1),Tabelle1[[#This Row],[Name]])</f>
        <v>James</v>
      </c>
      <c r="H14" t="str">
        <f>IFERROR(TRIM(MID(Tabelle1[[#This Row],[Name]],FIND(" ",Tabelle1[[#This Row],[Name]]&amp;" ")+1,999)),"")</f>
        <v>Harris</v>
      </c>
    </row>
    <row r="15" spans="1:8" ht="15.75" thickBot="1" x14ac:dyDescent="0.3">
      <c r="A15" s="2">
        <v>114</v>
      </c>
      <c r="B15" s="1" t="s">
        <v>33</v>
      </c>
      <c r="C15" s="1" t="s">
        <v>24</v>
      </c>
      <c r="D15" s="3" t="s">
        <v>17</v>
      </c>
      <c r="E15" s="3" t="str" cm="1">
        <f t="array" ref="E15">_xldudf_GPT("übersetze ins spanische",Tabelle1[[#This Row],[Class]])</f>
        <v>Biología</v>
      </c>
      <c r="F15" cm="1">
        <f t="array" ref="F15">_xlfn.SWITCH(Tabelle1[[#This Row],[Grade]],"A",15,"A-",14,"B+",13,"B",12,"B-",11,"C+",10,"C",9,0)</f>
        <v>12</v>
      </c>
      <c r="G15" t="str">
        <f>IFERROR(LEFT(Tabelle1[[#This Row],[Name]],FIND(" ",Tabelle1[[#This Row],[Name]]&amp;" ")-1),Tabelle1[[#This Row],[Name]])</f>
        <v>Amelia</v>
      </c>
      <c r="H15" t="str">
        <f>IFERROR(TRIM(MID(Tabelle1[[#This Row],[Name]],FIND(" ",Tabelle1[[#This Row],[Name]]&amp;" ")+1,999)),"")</f>
        <v>Martin</v>
      </c>
    </row>
    <row r="16" spans="1:8" ht="15.75" thickBot="1" x14ac:dyDescent="0.3">
      <c r="A16" s="2">
        <v>115</v>
      </c>
      <c r="B16" s="1" t="s">
        <v>34</v>
      </c>
      <c r="C16" s="1" t="s">
        <v>13</v>
      </c>
      <c r="D16" s="3" t="s">
        <v>14</v>
      </c>
      <c r="E16" s="3" t="str" cm="1">
        <f t="array" ref="E16">_xldudf_GPT("übersetze ins spanische",Tabelle1[[#This Row],[Class]])</f>
        <v>Física</v>
      </c>
      <c r="F16" cm="1">
        <f t="array" ref="F16">_xlfn.SWITCH(Tabelle1[[#This Row],[Grade]],"A",15,"A-",14,"B+",13,"B",12,"B-",11,"C+",10,"C",9,0)</f>
        <v>14</v>
      </c>
      <c r="G16" t="str">
        <f>IFERROR(LEFT(Tabelle1[[#This Row],[Name]],FIND(" ",Tabelle1[[#This Row],[Name]]&amp;" ")-1),Tabelle1[[#This Row],[Name]])</f>
        <v>Benjamin</v>
      </c>
      <c r="H16" t="str">
        <f>IFERROR(TRIM(MID(Tabelle1[[#This Row],[Name]],FIND(" ",Tabelle1[[#This Row],[Name]]&amp;" ")+1,999)),"")</f>
        <v>Thompson</v>
      </c>
    </row>
    <row r="17" spans="1:8" ht="29.25" thickBot="1" x14ac:dyDescent="0.3">
      <c r="A17" s="2">
        <v>116</v>
      </c>
      <c r="B17" s="1" t="s">
        <v>35</v>
      </c>
      <c r="C17" s="1" t="s">
        <v>28</v>
      </c>
      <c r="D17" s="3" t="s">
        <v>11</v>
      </c>
      <c r="E17" s="3" t="str" cm="1">
        <f t="array" ref="E17">_xldudf_GPT("übersetze ins spanische",Tabelle1[[#This Row],[Class]])</f>
        <v>Ciencias de la Computación</v>
      </c>
      <c r="F17" cm="1">
        <f t="array" ref="F17">_xlfn.SWITCH(Tabelle1[[#This Row],[Grade]],"A",15,"A-",14,"B+",13,"B",12,"B-",11,"C+",10,"C",9,0)</f>
        <v>13</v>
      </c>
      <c r="G17" t="str">
        <f>IFERROR(LEFT(Tabelle1[[#This Row],[Name]],FIND(" ",Tabelle1[[#This Row],[Name]]&amp;" ")-1),Tabelle1[[#This Row],[Name]])</f>
        <v>Harper</v>
      </c>
      <c r="H17" t="str">
        <f>IFERROR(TRIM(MID(Tabelle1[[#This Row],[Name]],FIND(" ",Tabelle1[[#This Row],[Name]]&amp;" ")+1,999)),"")</f>
        <v>Lee</v>
      </c>
    </row>
    <row r="18" spans="1:8" ht="15.75" thickBot="1" x14ac:dyDescent="0.3">
      <c r="A18" s="2">
        <v>117</v>
      </c>
      <c r="B18" s="1" t="s">
        <v>36</v>
      </c>
      <c r="C18" s="1" t="s">
        <v>10</v>
      </c>
      <c r="D18" s="3" t="s">
        <v>20</v>
      </c>
      <c r="E18" s="3" t="str" cm="1">
        <f t="array" ref="E18">_xldudf_GPT("übersetze ins spanische",Tabelle1[[#This Row],[Class]])</f>
        <v>Historia</v>
      </c>
      <c r="F18" cm="1">
        <f t="array" ref="F18">_xlfn.SWITCH(Tabelle1[[#This Row],[Grade]],"A",15,"A-",14,"B+",13,"B",12,"B-",11,"C+",10,"C",9,0)</f>
        <v>10</v>
      </c>
      <c r="G18" t="str">
        <f>IFERROR(LEFT(Tabelle1[[#This Row],[Name]],FIND(" ",Tabelle1[[#This Row],[Name]]&amp;" ")-1),Tabelle1[[#This Row],[Name]])</f>
        <v>Sebastian</v>
      </c>
      <c r="H18" t="str">
        <f>IFERROR(TRIM(MID(Tabelle1[[#This Row],[Name]],FIND(" ",Tabelle1[[#This Row],[Name]]&amp;" ")+1,999)),"")</f>
        <v>King</v>
      </c>
    </row>
    <row r="19" spans="1:8" ht="15.75" thickBot="1" x14ac:dyDescent="0.3">
      <c r="A19" s="2">
        <v>118</v>
      </c>
      <c r="B19" s="1" t="s">
        <v>37</v>
      </c>
      <c r="C19" s="1" t="s">
        <v>16</v>
      </c>
      <c r="D19" s="3" t="s">
        <v>8</v>
      </c>
      <c r="E19" s="3" t="str" cm="1">
        <f t="array" ref="E19">_xldudf_GPT("übersetze ins spanische",Tabelle1[[#This Row],[Class]])</f>
        <v>Literatura</v>
      </c>
      <c r="F19" cm="1">
        <f t="array" ref="F19">_xlfn.SWITCH(Tabelle1[[#This Row],[Grade]],"A",15,"A-",14,"B+",13,"B",12,"B-",11,"C+",10,"C",9,0)</f>
        <v>15</v>
      </c>
      <c r="G19" t="str">
        <f>IFERROR(LEFT(Tabelle1[[#This Row],[Name]],FIND(" ",Tabelle1[[#This Row],[Name]]&amp;" ")-1),Tabelle1[[#This Row],[Name]])</f>
        <v>Evelyn</v>
      </c>
      <c r="H19" t="str">
        <f>IFERROR(TRIM(MID(Tabelle1[[#This Row],[Name]],FIND(" ",Tabelle1[[#This Row],[Name]]&amp;" ")+1,999)),"")</f>
        <v>Wright</v>
      </c>
    </row>
    <row r="20" spans="1:8" ht="15.75" thickBot="1" x14ac:dyDescent="0.3">
      <c r="A20" s="2">
        <v>119</v>
      </c>
      <c r="B20" s="1" t="s">
        <v>38</v>
      </c>
      <c r="C20" s="1" t="s">
        <v>19</v>
      </c>
      <c r="D20" s="3" t="s">
        <v>22</v>
      </c>
      <c r="E20" s="3" t="str" cm="1">
        <f t="array" ref="E20">_xldudf_GPT("übersetze ins spanische",Tabelle1[[#This Row],[Class]])</f>
        <v>Química</v>
      </c>
      <c r="F20" cm="1">
        <f t="array" ref="F20">_xlfn.SWITCH(Tabelle1[[#This Row],[Grade]],"A",15,"A-",14,"B+",13,"B",12,"B-",11,"C+",10,"C",9,0)</f>
        <v>11</v>
      </c>
      <c r="G20" t="str">
        <f>IFERROR(LEFT(Tabelle1[[#This Row],[Name]],FIND(" ",Tabelle1[[#This Row],[Name]]&amp;" ")-1),Tabelle1[[#This Row],[Name]])</f>
        <v>Alexander</v>
      </c>
      <c r="H20" t="str">
        <f>IFERROR(TRIM(MID(Tabelle1[[#This Row],[Name]],FIND(" ",Tabelle1[[#This Row],[Name]]&amp;" ")+1,999)),"")</f>
        <v>Scott</v>
      </c>
    </row>
    <row r="21" spans="1:8" x14ac:dyDescent="0.25">
      <c r="A21" s="4">
        <v>120</v>
      </c>
      <c r="B21" s="5" t="s">
        <v>39</v>
      </c>
      <c r="C21" s="5" t="s">
        <v>7</v>
      </c>
      <c r="D21" s="6" t="s">
        <v>14</v>
      </c>
      <c r="E21" s="6" t="str" cm="1">
        <f t="array" ref="E21">_xldudf_GPT("übersetze ins spanische",Tabelle1[[#This Row],[Class]])</f>
        <v>Matemáticas</v>
      </c>
      <c r="F21" cm="1">
        <f t="array" ref="F21">_xlfn.SWITCH(Tabelle1[[#This Row],[Grade]],"A",15,"A-",14,"B+",13,"B",12,"B-",11,"C+",10,"C",9,0)</f>
        <v>14</v>
      </c>
      <c r="G21" t="str">
        <f>IFERROR(LEFT(Tabelle1[[#This Row],[Name]],FIND(" ",Tabelle1[[#This Row],[Name]]&amp;" ")-1),Tabelle1[[#This Row],[Name]])</f>
        <v>Scarlett</v>
      </c>
      <c r="H21" t="str">
        <f>IFERROR(TRIM(MID(Tabelle1[[#This Row],[Name]],FIND(" ",Tabelle1[[#This Row],[Name]]&amp;" ")+1,999)),"")</f>
        <v>Green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C1EB-A70C-4E03-AC49-200FA36B1578}">
  <dimension ref="ACB10118:WWX918056"/>
  <sheetViews>
    <sheetView workbookViewId="0"/>
  </sheetViews>
  <sheetFormatPr baseColWidth="10" defaultColWidth="11.42578125" defaultRowHeight="15" x14ac:dyDescent="0.25"/>
  <sheetData>
    <row r="10118" spans="14559:14559" x14ac:dyDescent="0.25">
      <c r="UMY10118" t="s">
        <v>40</v>
      </c>
    </row>
    <row r="216670" spans="16170:16170" x14ac:dyDescent="0.25">
      <c r="WWX216670" t="s">
        <v>41</v>
      </c>
    </row>
    <row r="274598" spans="8002:8002" x14ac:dyDescent="0.25">
      <c r="KUT274598" t="s">
        <v>42</v>
      </c>
    </row>
    <row r="467039" spans="10179:10179" x14ac:dyDescent="0.25">
      <c r="OAM467039" t="s">
        <v>43</v>
      </c>
    </row>
    <row r="602532" spans="756:756" x14ac:dyDescent="0.25">
      <c r="ACB602532" t="s">
        <v>44</v>
      </c>
    </row>
    <row r="755272" spans="12075:12075" x14ac:dyDescent="0.25">
      <c r="QVK755272" t="s">
        <v>45</v>
      </c>
    </row>
    <row r="918056" spans="9317:9317" x14ac:dyDescent="0.25">
      <c r="MTI918056" t="s">
        <v>46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A566-B8A3-4C40-A4FF-57B77C1482E3}">
  <dimension ref="A1:L12"/>
  <sheetViews>
    <sheetView tabSelected="1" workbookViewId="0">
      <selection activeCell="A14" sqref="A14"/>
    </sheetView>
  </sheetViews>
  <sheetFormatPr baseColWidth="10" defaultRowHeight="15" x14ac:dyDescent="0.25"/>
  <cols>
    <col min="1" max="1" width="56.7109375" bestFit="1" customWidth="1"/>
    <col min="2" max="2" width="14.140625" bestFit="1" customWidth="1"/>
    <col min="3" max="3" width="18" bestFit="1" customWidth="1"/>
  </cols>
  <sheetData>
    <row r="1" spans="1:12" ht="21" x14ac:dyDescent="0.35">
      <c r="A1" s="12" t="s">
        <v>50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4" t="s">
        <v>51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x14ac:dyDescent="0.25">
      <c r="A4" s="15" t="s">
        <v>52</v>
      </c>
      <c r="B4" s="15" t="s">
        <v>53</v>
      </c>
      <c r="C4" s="15" t="s">
        <v>54</v>
      </c>
    </row>
    <row r="5" spans="1:12" x14ac:dyDescent="0.25">
      <c r="A5" s="11" t="s">
        <v>8</v>
      </c>
      <c r="B5">
        <v>5</v>
      </c>
      <c r="C5">
        <v>75</v>
      </c>
    </row>
    <row r="6" spans="1:12" x14ac:dyDescent="0.25">
      <c r="A6" s="11" t="s">
        <v>14</v>
      </c>
      <c r="B6">
        <v>4</v>
      </c>
      <c r="C6">
        <v>56</v>
      </c>
    </row>
    <row r="7" spans="1:12" x14ac:dyDescent="0.25">
      <c r="A7" s="11" t="s">
        <v>17</v>
      </c>
      <c r="B7">
        <v>3</v>
      </c>
      <c r="C7">
        <v>36</v>
      </c>
    </row>
    <row r="8" spans="1:12" x14ac:dyDescent="0.25">
      <c r="A8" s="11" t="s">
        <v>22</v>
      </c>
      <c r="B8">
        <v>2</v>
      </c>
      <c r="C8">
        <v>22</v>
      </c>
    </row>
    <row r="9" spans="1:12" x14ac:dyDescent="0.25">
      <c r="A9" s="11" t="s">
        <v>11</v>
      </c>
      <c r="B9">
        <v>3</v>
      </c>
      <c r="C9">
        <v>39</v>
      </c>
    </row>
    <row r="10" spans="1:12" x14ac:dyDescent="0.25">
      <c r="A10" s="11" t="s">
        <v>30</v>
      </c>
      <c r="B10">
        <v>1</v>
      </c>
      <c r="C10">
        <v>9</v>
      </c>
    </row>
    <row r="11" spans="1:12" x14ac:dyDescent="0.25">
      <c r="A11" s="11" t="s">
        <v>20</v>
      </c>
      <c r="B11">
        <v>2</v>
      </c>
      <c r="C11">
        <v>20</v>
      </c>
    </row>
    <row r="12" spans="1:12" x14ac:dyDescent="0.25">
      <c r="A12" s="11" t="s">
        <v>47</v>
      </c>
      <c r="B12">
        <v>20</v>
      </c>
      <c r="C12">
        <v>257</v>
      </c>
    </row>
  </sheetData>
  <pageMargins left="0.7" right="0.7" top="0.78740157499999996" bottom="0.78740157499999996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Auswertung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 Gollnick</dc:creator>
  <cp:keywords/>
  <dc:description/>
  <cp:lastModifiedBy>Bert Gollnick</cp:lastModifiedBy>
  <cp:revision/>
  <dcterms:created xsi:type="dcterms:W3CDTF">2026-01-18T07:47:12Z</dcterms:created>
  <dcterms:modified xsi:type="dcterms:W3CDTF">2026-06-05T10:40:23Z</dcterms:modified>
  <cp:category/>
  <cp:contentStatus/>
</cp:coreProperties>
</file>